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IPTP\Stage_3A\Stage\Ideas\"/>
    </mc:Choice>
  </mc:AlternateContent>
  <xr:revisionPtr revIDLastSave="0" documentId="13_ncr:1_{178FC97B-1648-4E29-8D88-F1470805B25C}" xr6:coauthVersionLast="47" xr6:coauthVersionMax="47" xr10:uidLastSave="{00000000-0000-0000-0000-000000000000}"/>
  <bookViews>
    <workbookView xWindow="-109" yWindow="-109" windowWidth="23452" windowHeight="12561" activeTab="1" xr2:uid="{00000000-000D-0000-FFFF-FFFF00000000}"/>
  </bookViews>
  <sheets>
    <sheet name="Experiments V1" sheetId="1" r:id="rId1"/>
    <sheet name="Experiments V2" sheetId="5" r:id="rId2"/>
    <sheet name="Time of Encoding" sheetId="4" r:id="rId3"/>
    <sheet name="Scratch" sheetId="2" r:id="rId4"/>
    <sheet name="Final Comparison" sheetId="3" r:id="rId5"/>
  </sheets>
  <definedNames>
    <definedName name="_xlnm._FilterDatabase" localSheetId="0" hidden="1">'Experiments V1'!$A$1:$E$21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C3" i="2"/>
  <c r="J7" i="2"/>
  <c r="J6" i="2"/>
  <c r="J5" i="2"/>
  <c r="J4" i="2"/>
  <c r="J3" i="2"/>
  <c r="I7" i="2"/>
  <c r="H7" i="2"/>
  <c r="G7" i="2"/>
  <c r="F7" i="2"/>
  <c r="E7" i="2"/>
  <c r="D7" i="2"/>
  <c r="C7" i="2"/>
  <c r="B7" i="2"/>
  <c r="I6" i="2"/>
  <c r="H6" i="2"/>
  <c r="G6" i="2"/>
  <c r="F6" i="2"/>
  <c r="E6" i="2"/>
  <c r="D6" i="2"/>
  <c r="C6" i="2"/>
  <c r="B6" i="2"/>
  <c r="B5" i="2"/>
  <c r="I5" i="2"/>
  <c r="H5" i="2"/>
  <c r="G5" i="2"/>
  <c r="F5" i="2"/>
  <c r="E5" i="2"/>
  <c r="D5" i="2"/>
  <c r="C5" i="2"/>
  <c r="B4" i="2"/>
  <c r="I4" i="2"/>
  <c r="H4" i="2"/>
  <c r="G4" i="2"/>
  <c r="F4" i="2"/>
  <c r="E4" i="2"/>
  <c r="D4" i="2"/>
  <c r="C4" i="2"/>
  <c r="I3" i="2"/>
  <c r="H3" i="2"/>
  <c r="G3" i="2"/>
  <c r="F3" i="2"/>
  <c r="E3" i="2"/>
  <c r="D3" i="2"/>
  <c r="E7" i="1"/>
  <c r="D7" i="1"/>
  <c r="C7" i="1"/>
</calcChain>
</file>

<file path=xl/sharedStrings.xml><?xml version="1.0" encoding="utf-8"?>
<sst xmlns="http://schemas.openxmlformats.org/spreadsheetml/2006/main" count="220" uniqueCount="123">
  <si>
    <t>AUROC</t>
    <phoneticPr fontId="1" type="noConversion"/>
  </si>
  <si>
    <t>AUPRC</t>
    <phoneticPr fontId="1" type="noConversion"/>
  </si>
  <si>
    <t>FPR-95</t>
    <phoneticPr fontId="1" type="noConversion"/>
  </si>
  <si>
    <t>METHOD</t>
  </si>
  <si>
    <t>METHOD</t>
    <phoneticPr fontId="1" type="noConversion"/>
  </si>
  <si>
    <t>GENERATOR</t>
  </si>
  <si>
    <t>CNNSpot</t>
  </si>
  <si>
    <t>CNNSpot</t>
    <phoneticPr fontId="1" type="noConversion"/>
  </si>
  <si>
    <t>AEROBLADE</t>
  </si>
  <si>
    <t>AEROBLADE</t>
    <phoneticPr fontId="1" type="noConversion"/>
  </si>
  <si>
    <t>Mahalanobis(ours)</t>
  </si>
  <si>
    <t>Mahalanobis(ours)</t>
    <phoneticPr fontId="1" type="noConversion"/>
  </si>
  <si>
    <t>RPO(ours)</t>
  </si>
  <si>
    <t>RPO(ours)</t>
    <phoneticPr fontId="1" type="noConversion"/>
  </si>
  <si>
    <t>ADM</t>
  </si>
  <si>
    <t>ADM</t>
    <phoneticPr fontId="1" type="noConversion"/>
  </si>
  <si>
    <t>BigGAN</t>
  </si>
  <si>
    <t>BigGAN</t>
    <phoneticPr fontId="1" type="noConversion"/>
  </si>
  <si>
    <t>GLIDE</t>
  </si>
  <si>
    <t>GLIDE</t>
    <phoneticPr fontId="1" type="noConversion"/>
  </si>
  <si>
    <t>Midjourney</t>
  </si>
  <si>
    <t>Midjourney</t>
    <phoneticPr fontId="1" type="noConversion"/>
  </si>
  <si>
    <t>SDv1.4</t>
  </si>
  <si>
    <t>SDv1.4</t>
    <phoneticPr fontId="1" type="noConversion"/>
  </si>
  <si>
    <t>SDv1.5</t>
  </si>
  <si>
    <t>SDv1.5</t>
    <phoneticPr fontId="1" type="noConversion"/>
  </si>
  <si>
    <t>VQDM</t>
  </si>
  <si>
    <t>VQDM</t>
    <phoneticPr fontId="1" type="noConversion"/>
  </si>
  <si>
    <t>Wukong</t>
  </si>
  <si>
    <t>Wukong</t>
    <phoneticPr fontId="1" type="noConversion"/>
  </si>
  <si>
    <t>Average</t>
  </si>
  <si>
    <t>Average</t>
    <phoneticPr fontId="1" type="noConversion"/>
  </si>
  <si>
    <t>AUROC</t>
  </si>
  <si>
    <t>AUPRC</t>
  </si>
  <si>
    <t>FPR95</t>
  </si>
  <si>
    <t>adm</t>
  </si>
  <si>
    <t>bgan</t>
  </si>
  <si>
    <t>glide</t>
  </si>
  <si>
    <t>midj</t>
  </si>
  <si>
    <t>sd_14</t>
  </si>
  <si>
    <t>sd_15</t>
  </si>
  <si>
    <t>vqdm</t>
  </si>
  <si>
    <t>wukong</t>
  </si>
  <si>
    <t>GENERATOR (AUROC/AUPRC/FPR95)</t>
    <phoneticPr fontId="1" type="noConversion"/>
  </si>
  <si>
    <t>average</t>
  </si>
  <si>
    <t>53.1 / 52.0 / 93.7</t>
    <phoneticPr fontId="1" type="noConversion"/>
  </si>
  <si>
    <t>64.0 / 67.5 / 94.3</t>
    <phoneticPr fontId="1" type="noConversion"/>
  </si>
  <si>
    <t>59.8 / 60.4 / 72.7</t>
    <phoneticPr fontId="1" type="noConversion"/>
  </si>
  <si>
    <t>68.5 / 63.1 / 81.9</t>
    <phoneticPr fontId="1" type="noConversion"/>
  </si>
  <si>
    <t>80.3 / 76.6 / 59.2</t>
    <phoneticPr fontId="1" type="noConversion"/>
  </si>
  <si>
    <t>76.4 / 75.7 / 47.3</t>
    <phoneticPr fontId="1" type="noConversion"/>
  </si>
  <si>
    <t>70.6 / 66.3 / 71.5</t>
    <phoneticPr fontId="1" type="noConversion"/>
  </si>
  <si>
    <t>54.2 / 53.3 / 96.6</t>
    <phoneticPr fontId="1" type="noConversion"/>
  </si>
  <si>
    <t>56.4 / 56.0 / 92.6</t>
    <phoneticPr fontId="1" type="noConversion"/>
  </si>
  <si>
    <t>51.3 / 50.5 / 97.0</t>
    <phoneticPr fontId="1" type="noConversion"/>
  </si>
  <si>
    <t>47.5 / 47.4 / 95.9</t>
    <phoneticPr fontId="1" type="noConversion"/>
  </si>
  <si>
    <t>56.0 / 54.9 / 90.0</t>
    <phoneticPr fontId="1" type="noConversion"/>
  </si>
  <si>
    <t>47.7 / 47.3 / 95.6</t>
    <phoneticPr fontId="1" type="noConversion"/>
  </si>
  <si>
    <t>56.3 / 55.0 / 89.7</t>
    <phoneticPr fontId="1" type="noConversion"/>
  </si>
  <si>
    <t>65.8 / 62.1 / 81.4</t>
    <phoneticPr fontId="1" type="noConversion"/>
  </si>
  <si>
    <t>59.6 / 61.7 / 96.1</t>
    <phoneticPr fontId="1" type="noConversion"/>
  </si>
  <si>
    <t>49.1 / 52.0 / 98.3</t>
    <phoneticPr fontId="1" type="noConversion"/>
  </si>
  <si>
    <t>55.4 / 52.9 / 91.3</t>
    <phoneticPr fontId="1" type="noConversion"/>
  </si>
  <si>
    <t>37.2 / 40.9 / 99.1</t>
    <phoneticPr fontId="1" type="noConversion"/>
  </si>
  <si>
    <t>62.4 / 60.7 / 87.1</t>
    <phoneticPr fontId="1" type="noConversion"/>
  </si>
  <si>
    <t>67.0 / 64.1 / 75.7</t>
    <phoneticPr fontId="1" type="noConversion"/>
  </si>
  <si>
    <t>52.4 / 52.0 / 94.5</t>
    <phoneticPr fontId="1" type="noConversion"/>
  </si>
  <si>
    <t>67.6 / 67.5 / 79.0</t>
    <phoneticPr fontId="1" type="noConversion"/>
  </si>
  <si>
    <t>GENERATOR  ( AUROC % / AUPRC % / FPR95 % )</t>
    <phoneticPr fontId="1" type="noConversion"/>
  </si>
  <si>
    <r>
      <rPr>
        <b/>
        <sz val="13.5"/>
        <color theme="1"/>
        <rFont val="等线"/>
        <family val="3"/>
        <charset val="134"/>
        <scheme val="minor"/>
      </rPr>
      <t xml:space="preserve">73.6 </t>
    </r>
    <r>
      <rPr>
        <sz val="13.5"/>
        <color theme="1"/>
        <rFont val="等线"/>
        <family val="3"/>
        <charset val="134"/>
        <scheme val="minor"/>
      </rPr>
      <t xml:space="preserve">/ </t>
    </r>
    <r>
      <rPr>
        <b/>
        <sz val="13.5"/>
        <color theme="1"/>
        <rFont val="等线"/>
        <family val="3"/>
        <charset val="134"/>
        <scheme val="minor"/>
      </rPr>
      <t xml:space="preserve">71.2 </t>
    </r>
    <r>
      <rPr>
        <sz val="13.5"/>
        <color theme="1"/>
        <rFont val="等线"/>
        <family val="3"/>
        <charset val="134"/>
        <scheme val="minor"/>
      </rPr>
      <t xml:space="preserve">/ </t>
    </r>
    <r>
      <rPr>
        <u/>
        <sz val="13.5"/>
        <color theme="1"/>
        <rFont val="等线"/>
        <family val="3"/>
        <charset val="134"/>
        <scheme val="minor"/>
      </rPr>
      <t>72.1</t>
    </r>
    <phoneticPr fontId="1" type="noConversion"/>
  </si>
  <si>
    <r>
      <rPr>
        <b/>
        <sz val="13.5"/>
        <color theme="1"/>
        <rFont val="等线"/>
        <family val="3"/>
        <charset val="134"/>
        <scheme val="minor"/>
      </rPr>
      <t xml:space="preserve">92.5 </t>
    </r>
    <r>
      <rPr>
        <sz val="13.5"/>
        <color theme="1"/>
        <rFont val="等线"/>
        <family val="3"/>
        <charset val="134"/>
        <scheme val="minor"/>
      </rPr>
      <t xml:space="preserve">/ </t>
    </r>
    <r>
      <rPr>
        <b/>
        <sz val="13.5"/>
        <color theme="1"/>
        <rFont val="等线"/>
        <family val="3"/>
        <charset val="134"/>
        <scheme val="minor"/>
      </rPr>
      <t xml:space="preserve">90.0 </t>
    </r>
    <r>
      <rPr>
        <sz val="13.5"/>
        <color theme="1"/>
        <rFont val="等线"/>
        <family val="3"/>
        <charset val="134"/>
        <scheme val="minor"/>
      </rPr>
      <t xml:space="preserve">/ </t>
    </r>
    <r>
      <rPr>
        <b/>
        <sz val="13.5"/>
        <color theme="1"/>
        <rFont val="等线"/>
        <family val="3"/>
        <charset val="134"/>
        <scheme val="minor"/>
      </rPr>
      <t>24.5</t>
    </r>
    <phoneticPr fontId="1" type="noConversion"/>
  </si>
  <si>
    <r>
      <rPr>
        <u/>
        <sz val="13.5"/>
        <color theme="1"/>
        <rFont val="等线"/>
        <family val="3"/>
        <charset val="134"/>
        <scheme val="minor"/>
      </rPr>
      <t xml:space="preserve">60.6 </t>
    </r>
    <r>
      <rPr>
        <sz val="13.5"/>
        <color theme="1"/>
        <rFont val="等线"/>
        <family val="3"/>
        <charset val="134"/>
        <scheme val="minor"/>
      </rPr>
      <t>/ 56.9 / 86.6</t>
    </r>
    <phoneticPr fontId="1" type="noConversion"/>
  </si>
  <si>
    <r>
      <rPr>
        <u/>
        <sz val="13.5"/>
        <color theme="1"/>
        <rFont val="等线"/>
        <family val="3"/>
        <charset val="134"/>
        <scheme val="minor"/>
      </rPr>
      <t>60.8</t>
    </r>
    <r>
      <rPr>
        <sz val="13.5"/>
        <color theme="1"/>
        <rFont val="等线"/>
        <family val="3"/>
        <charset val="134"/>
        <scheme val="minor"/>
      </rPr>
      <t xml:space="preserve"> / 57.3 / 86.0</t>
    </r>
    <phoneticPr fontId="1" type="noConversion"/>
  </si>
  <si>
    <r>
      <rPr>
        <b/>
        <sz val="13.5"/>
        <color theme="1"/>
        <rFont val="等线"/>
        <family val="3"/>
        <charset val="134"/>
        <scheme val="minor"/>
      </rPr>
      <t xml:space="preserve">91.7 </t>
    </r>
    <r>
      <rPr>
        <sz val="13.5"/>
        <color theme="1"/>
        <rFont val="等线"/>
        <family val="3"/>
        <charset val="134"/>
        <scheme val="minor"/>
      </rPr>
      <t xml:space="preserve">/ </t>
    </r>
    <r>
      <rPr>
        <b/>
        <sz val="13.5"/>
        <color theme="1"/>
        <rFont val="等线"/>
        <family val="3"/>
        <charset val="134"/>
        <scheme val="minor"/>
      </rPr>
      <t xml:space="preserve">92.2 </t>
    </r>
    <r>
      <rPr>
        <sz val="13.5"/>
        <color theme="1"/>
        <rFont val="等线"/>
        <family val="3"/>
        <charset val="134"/>
        <scheme val="minor"/>
      </rPr>
      <t>/ 44.6</t>
    </r>
    <phoneticPr fontId="1" type="noConversion"/>
  </si>
  <si>
    <r>
      <rPr>
        <b/>
        <sz val="13.5"/>
        <color theme="1"/>
        <rFont val="等线"/>
        <family val="3"/>
        <charset val="134"/>
        <scheme val="minor"/>
      </rPr>
      <t xml:space="preserve">80.9 </t>
    </r>
    <r>
      <rPr>
        <sz val="13.5"/>
        <color theme="1"/>
        <rFont val="等线"/>
        <family val="3"/>
        <charset val="134"/>
        <scheme val="minor"/>
      </rPr>
      <t xml:space="preserve">/ </t>
    </r>
    <r>
      <rPr>
        <b/>
        <sz val="13.5"/>
        <color theme="1"/>
        <rFont val="等线"/>
        <family val="3"/>
        <charset val="134"/>
        <scheme val="minor"/>
      </rPr>
      <t xml:space="preserve">81.1 </t>
    </r>
    <r>
      <rPr>
        <sz val="13.5"/>
        <color theme="1"/>
        <rFont val="等线"/>
        <family val="3"/>
        <charset val="134"/>
        <scheme val="minor"/>
      </rPr>
      <t xml:space="preserve">/ 69.0 </t>
    </r>
    <phoneticPr fontId="1" type="noConversion"/>
  </si>
  <si>
    <r>
      <rPr>
        <u/>
        <sz val="13.5"/>
        <color theme="1"/>
        <rFont val="等线"/>
        <family val="3"/>
        <charset val="134"/>
        <scheme val="minor"/>
      </rPr>
      <t xml:space="preserve">69.6 </t>
    </r>
    <r>
      <rPr>
        <sz val="13.5"/>
        <color theme="1"/>
        <rFont val="等线"/>
        <family val="3"/>
        <charset val="134"/>
        <scheme val="minor"/>
      </rPr>
      <t xml:space="preserve">/ </t>
    </r>
    <r>
      <rPr>
        <u/>
        <sz val="13.5"/>
        <color theme="1"/>
        <rFont val="等线"/>
        <family val="3"/>
        <charset val="134"/>
        <scheme val="minor"/>
      </rPr>
      <t xml:space="preserve">68.1 </t>
    </r>
    <r>
      <rPr>
        <sz val="13.5"/>
        <color theme="1"/>
        <rFont val="等线"/>
        <family val="3"/>
        <charset val="134"/>
        <scheme val="minor"/>
      </rPr>
      <t xml:space="preserve">/ </t>
    </r>
    <r>
      <rPr>
        <b/>
        <sz val="13.5"/>
        <color theme="1"/>
        <rFont val="等线"/>
        <family val="3"/>
        <charset val="134"/>
        <scheme val="minor"/>
      </rPr>
      <t>58.2</t>
    </r>
    <phoneticPr fontId="1" type="noConversion"/>
  </si>
  <si>
    <r>
      <rPr>
        <u/>
        <sz val="13.5"/>
        <color theme="1"/>
        <rFont val="等线"/>
        <family val="3"/>
        <charset val="134"/>
        <scheme val="minor"/>
      </rPr>
      <t xml:space="preserve">86.6 </t>
    </r>
    <r>
      <rPr>
        <sz val="13.5"/>
        <color theme="1"/>
        <rFont val="等线"/>
        <family val="3"/>
        <charset val="134"/>
        <scheme val="minor"/>
      </rPr>
      <t xml:space="preserve">/ </t>
    </r>
    <r>
      <rPr>
        <u/>
        <sz val="13.5"/>
        <color theme="1"/>
        <rFont val="等线"/>
        <family val="3"/>
        <charset val="134"/>
        <scheme val="minor"/>
      </rPr>
      <t xml:space="preserve">84.6 </t>
    </r>
    <r>
      <rPr>
        <sz val="13.5"/>
        <color theme="1"/>
        <rFont val="等线"/>
        <family val="3"/>
        <charset val="134"/>
        <scheme val="minor"/>
      </rPr>
      <t xml:space="preserve">/ </t>
    </r>
    <r>
      <rPr>
        <u/>
        <sz val="13.5"/>
        <color theme="1"/>
        <rFont val="等线"/>
        <family val="3"/>
        <charset val="134"/>
        <scheme val="minor"/>
      </rPr>
      <t>28.5</t>
    </r>
    <phoneticPr fontId="1" type="noConversion"/>
  </si>
  <si>
    <r>
      <rPr>
        <u/>
        <sz val="13.5"/>
        <color theme="1"/>
        <rFont val="等线"/>
        <family val="3"/>
        <charset val="134"/>
        <scheme val="minor"/>
      </rPr>
      <t xml:space="preserve">81.2 </t>
    </r>
    <r>
      <rPr>
        <sz val="13.5"/>
        <color theme="1"/>
        <rFont val="等线"/>
        <family val="3"/>
        <charset val="134"/>
        <scheme val="minor"/>
      </rPr>
      <t xml:space="preserve">/ </t>
    </r>
    <r>
      <rPr>
        <u/>
        <sz val="13.5"/>
        <color theme="1"/>
        <rFont val="等线"/>
        <family val="3"/>
        <charset val="134"/>
        <scheme val="minor"/>
      </rPr>
      <t xml:space="preserve">79.2 </t>
    </r>
    <r>
      <rPr>
        <sz val="13.5"/>
        <color theme="1"/>
        <rFont val="等线"/>
        <family val="3"/>
        <charset val="134"/>
        <scheme val="minor"/>
      </rPr>
      <t xml:space="preserve">/ </t>
    </r>
    <r>
      <rPr>
        <b/>
        <sz val="13.5"/>
        <color theme="1"/>
        <rFont val="等线"/>
        <family val="3"/>
        <charset val="134"/>
        <scheme val="minor"/>
      </rPr>
      <t>33.1</t>
    </r>
    <phoneticPr fontId="1" type="noConversion"/>
  </si>
  <si>
    <r>
      <rPr>
        <u/>
        <sz val="13.5"/>
        <color theme="1"/>
        <rFont val="等线"/>
        <family val="3"/>
        <charset val="134"/>
        <scheme val="minor"/>
      </rPr>
      <t xml:space="preserve">62.8 </t>
    </r>
    <r>
      <rPr>
        <sz val="13.5"/>
        <color theme="1"/>
        <rFont val="等线"/>
        <family val="3"/>
        <charset val="134"/>
        <scheme val="minor"/>
      </rPr>
      <t xml:space="preserve">/ </t>
    </r>
    <r>
      <rPr>
        <u/>
        <sz val="13.5"/>
        <color theme="1"/>
        <rFont val="等线"/>
        <family val="3"/>
        <charset val="134"/>
        <scheme val="minor"/>
      </rPr>
      <t xml:space="preserve">63.2 </t>
    </r>
    <r>
      <rPr>
        <sz val="13.5"/>
        <color theme="1"/>
        <rFont val="等线"/>
        <family val="3"/>
        <charset val="134"/>
        <scheme val="minor"/>
      </rPr>
      <t xml:space="preserve">/ </t>
    </r>
    <r>
      <rPr>
        <b/>
        <sz val="13.5"/>
        <color theme="1"/>
        <rFont val="等线"/>
        <family val="3"/>
        <charset val="134"/>
        <scheme val="minor"/>
      </rPr>
      <t>60.2</t>
    </r>
    <phoneticPr fontId="1" type="noConversion"/>
  </si>
  <si>
    <r>
      <rPr>
        <b/>
        <sz val="13.5"/>
        <color theme="1"/>
        <rFont val="等线"/>
        <family val="3"/>
        <charset val="134"/>
        <scheme val="minor"/>
      </rPr>
      <t xml:space="preserve">63.7 </t>
    </r>
    <r>
      <rPr>
        <sz val="13.5"/>
        <color theme="1"/>
        <rFont val="等线"/>
        <family val="3"/>
        <charset val="134"/>
        <scheme val="minor"/>
      </rPr>
      <t xml:space="preserve">/ </t>
    </r>
    <r>
      <rPr>
        <b/>
        <sz val="13.5"/>
        <color theme="1"/>
        <rFont val="等线"/>
        <family val="3"/>
        <charset val="134"/>
        <scheme val="minor"/>
      </rPr>
      <t xml:space="preserve">64.4 </t>
    </r>
    <r>
      <rPr>
        <sz val="13.5"/>
        <color theme="1"/>
        <rFont val="等线"/>
        <family val="3"/>
        <charset val="134"/>
        <scheme val="minor"/>
      </rPr>
      <t xml:space="preserve">/ </t>
    </r>
    <r>
      <rPr>
        <b/>
        <sz val="13.5"/>
        <color theme="1"/>
        <rFont val="等线"/>
        <family val="3"/>
        <charset val="134"/>
        <scheme val="minor"/>
      </rPr>
      <t>54.6</t>
    </r>
    <phoneticPr fontId="1" type="noConversion"/>
  </si>
  <si>
    <r>
      <rPr>
        <b/>
        <sz val="13.5"/>
        <color theme="1"/>
        <rFont val="等线"/>
        <family val="3"/>
        <charset val="134"/>
        <scheme val="minor"/>
      </rPr>
      <t>63.5</t>
    </r>
    <r>
      <rPr>
        <sz val="13.5"/>
        <color theme="1"/>
        <rFont val="等线"/>
        <family val="3"/>
        <charset val="134"/>
        <scheme val="minor"/>
      </rPr>
      <t xml:space="preserve"> / </t>
    </r>
    <r>
      <rPr>
        <b/>
        <sz val="13.5"/>
        <color theme="1"/>
        <rFont val="等线"/>
        <family val="3"/>
        <charset val="134"/>
        <scheme val="minor"/>
      </rPr>
      <t>63.6</t>
    </r>
    <r>
      <rPr>
        <sz val="13.5"/>
        <color theme="1"/>
        <rFont val="等线"/>
        <family val="3"/>
        <charset val="134"/>
        <scheme val="minor"/>
      </rPr>
      <t xml:space="preserve"> /</t>
    </r>
    <r>
      <rPr>
        <b/>
        <sz val="13.5"/>
        <color theme="1"/>
        <rFont val="等线"/>
        <family val="3"/>
        <charset val="134"/>
        <scheme val="minor"/>
      </rPr>
      <t xml:space="preserve"> 56.6</t>
    </r>
    <phoneticPr fontId="1" type="noConversion"/>
  </si>
  <si>
    <r>
      <rPr>
        <b/>
        <sz val="13.5"/>
        <color theme="1"/>
        <rFont val="等线"/>
        <family val="3"/>
        <charset val="134"/>
        <scheme val="minor"/>
      </rPr>
      <t>88.4</t>
    </r>
    <r>
      <rPr>
        <sz val="13.5"/>
        <color theme="1"/>
        <rFont val="等线"/>
        <family val="3"/>
        <charset val="134"/>
        <scheme val="minor"/>
      </rPr>
      <t xml:space="preserve"> / </t>
    </r>
    <r>
      <rPr>
        <b/>
        <sz val="13.5"/>
        <color theme="1"/>
        <rFont val="等线"/>
        <family val="3"/>
        <charset val="134"/>
        <scheme val="minor"/>
      </rPr>
      <t>86.8</t>
    </r>
    <r>
      <rPr>
        <sz val="13.5"/>
        <color theme="1"/>
        <rFont val="等线"/>
        <family val="3"/>
        <charset val="134"/>
        <scheme val="minor"/>
      </rPr>
      <t xml:space="preserve"> / </t>
    </r>
    <r>
      <rPr>
        <b/>
        <sz val="13.5"/>
        <color theme="1"/>
        <rFont val="等线"/>
        <family val="3"/>
        <charset val="134"/>
        <scheme val="minor"/>
      </rPr>
      <t>27.6</t>
    </r>
    <phoneticPr fontId="1" type="noConversion"/>
  </si>
  <si>
    <r>
      <rPr>
        <b/>
        <sz val="13.5"/>
        <color theme="1"/>
        <rFont val="等线"/>
        <family val="3"/>
        <charset val="134"/>
        <scheme val="minor"/>
      </rPr>
      <t>75.2</t>
    </r>
    <r>
      <rPr>
        <sz val="13.5"/>
        <color theme="1"/>
        <rFont val="等线"/>
        <family val="3"/>
        <charset val="134"/>
        <scheme val="minor"/>
      </rPr>
      <t xml:space="preserve"> / </t>
    </r>
    <r>
      <rPr>
        <b/>
        <sz val="13.5"/>
        <color theme="1"/>
        <rFont val="等线"/>
        <family val="3"/>
        <charset val="134"/>
        <scheme val="minor"/>
      </rPr>
      <t>74.6</t>
    </r>
    <r>
      <rPr>
        <sz val="13.5"/>
        <color theme="1"/>
        <rFont val="等线"/>
        <family val="3"/>
        <charset val="134"/>
        <scheme val="minor"/>
      </rPr>
      <t xml:space="preserve"> / </t>
    </r>
    <r>
      <rPr>
        <b/>
        <sz val="13.5"/>
        <color theme="1"/>
        <rFont val="等线"/>
        <family val="3"/>
        <charset val="134"/>
        <scheme val="minor"/>
      </rPr>
      <t>40.2</t>
    </r>
    <phoneticPr fontId="1" type="noConversion"/>
  </si>
  <si>
    <r>
      <rPr>
        <b/>
        <sz val="13.5"/>
        <color theme="1"/>
        <rFont val="等线"/>
        <family val="3"/>
        <charset val="134"/>
        <scheme val="minor"/>
      </rPr>
      <t>73.9</t>
    </r>
    <r>
      <rPr>
        <sz val="13.5"/>
        <color theme="1"/>
        <rFont val="等线"/>
        <family val="3"/>
        <charset val="134"/>
        <scheme val="minor"/>
      </rPr>
      <t xml:space="preserve"> / </t>
    </r>
    <r>
      <rPr>
        <b/>
        <sz val="13.5"/>
        <color theme="1"/>
        <rFont val="等线"/>
        <family val="3"/>
        <charset val="134"/>
        <scheme val="minor"/>
      </rPr>
      <t>73.1</t>
    </r>
    <r>
      <rPr>
        <sz val="13.5"/>
        <color theme="1"/>
        <rFont val="等线"/>
        <family val="3"/>
        <charset val="134"/>
        <scheme val="minor"/>
      </rPr>
      <t xml:space="preserve"> / </t>
    </r>
    <r>
      <rPr>
        <b/>
        <sz val="13.5"/>
        <color theme="1"/>
        <rFont val="等线"/>
        <family val="3"/>
        <charset val="134"/>
        <scheme val="minor"/>
      </rPr>
      <t>44.9</t>
    </r>
    <phoneticPr fontId="1" type="noConversion"/>
  </si>
  <si>
    <r>
      <t xml:space="preserve">74.9 / 74.1 / </t>
    </r>
    <r>
      <rPr>
        <u/>
        <sz val="13.5"/>
        <color theme="1"/>
        <rFont val="等线"/>
        <family val="3"/>
        <charset val="134"/>
        <scheme val="minor"/>
      </rPr>
      <t>43.1</t>
    </r>
    <phoneticPr fontId="1" type="noConversion"/>
  </si>
  <si>
    <r>
      <t xml:space="preserve">59.3 / 61.3 / </t>
    </r>
    <r>
      <rPr>
        <u/>
        <sz val="13.5"/>
        <color theme="1"/>
        <rFont val="等线"/>
        <family val="3"/>
        <charset val="134"/>
        <scheme val="minor"/>
      </rPr>
      <t>64.9</t>
    </r>
    <phoneticPr fontId="1" type="noConversion"/>
  </si>
  <si>
    <r>
      <t xml:space="preserve">59.7 / </t>
    </r>
    <r>
      <rPr>
        <u/>
        <sz val="13.5"/>
        <color theme="1"/>
        <rFont val="等线"/>
        <family val="3"/>
        <charset val="134"/>
        <scheme val="minor"/>
      </rPr>
      <t xml:space="preserve">62.3 </t>
    </r>
    <r>
      <rPr>
        <sz val="13.5"/>
        <color theme="1"/>
        <rFont val="等线"/>
        <family val="3"/>
        <charset val="134"/>
        <scheme val="minor"/>
      </rPr>
      <t xml:space="preserve">/ </t>
    </r>
    <r>
      <rPr>
        <u/>
        <sz val="13.5"/>
        <color theme="1"/>
        <rFont val="等线"/>
        <family val="3"/>
        <charset val="134"/>
        <scheme val="minor"/>
      </rPr>
      <t>61.3</t>
    </r>
    <phoneticPr fontId="1" type="noConversion"/>
  </si>
  <si>
    <r>
      <t xml:space="preserve">59.0 / </t>
    </r>
    <r>
      <rPr>
        <u/>
        <sz val="13.5"/>
        <color theme="1"/>
        <rFont val="等线"/>
        <family val="3"/>
        <charset val="134"/>
        <scheme val="minor"/>
      </rPr>
      <t>61.2</t>
    </r>
    <r>
      <rPr>
        <sz val="13.5"/>
        <color theme="1"/>
        <rFont val="等线"/>
        <family val="3"/>
        <charset val="134"/>
        <scheme val="minor"/>
      </rPr>
      <t xml:space="preserve"> / </t>
    </r>
    <r>
      <rPr>
        <u/>
        <sz val="13.5"/>
        <color theme="1"/>
        <rFont val="等线"/>
        <family val="3"/>
        <charset val="134"/>
        <scheme val="minor"/>
      </rPr>
      <t>65.1</t>
    </r>
    <phoneticPr fontId="1" type="noConversion"/>
  </si>
  <si>
    <r>
      <rPr>
        <u/>
        <sz val="13.5"/>
        <color theme="1"/>
        <rFont val="等线"/>
        <family val="3"/>
        <charset val="134"/>
        <scheme val="minor"/>
      </rPr>
      <t>80.8</t>
    </r>
    <r>
      <rPr>
        <sz val="13.5"/>
        <color theme="1"/>
        <rFont val="等线"/>
        <family val="3"/>
        <charset val="134"/>
        <scheme val="minor"/>
      </rPr>
      <t xml:space="preserve"> / </t>
    </r>
    <r>
      <rPr>
        <u/>
        <sz val="13.5"/>
        <color theme="1"/>
        <rFont val="等线"/>
        <family val="3"/>
        <charset val="134"/>
        <scheme val="minor"/>
      </rPr>
      <t>80.0</t>
    </r>
    <r>
      <rPr>
        <sz val="13.5"/>
        <color theme="1"/>
        <rFont val="等线"/>
        <family val="3"/>
        <charset val="134"/>
        <scheme val="minor"/>
      </rPr>
      <t xml:space="preserve"> / </t>
    </r>
    <r>
      <rPr>
        <u/>
        <sz val="13.5"/>
        <color theme="1"/>
        <rFont val="等线"/>
        <family val="3"/>
        <charset val="134"/>
        <scheme val="minor"/>
      </rPr>
      <t>42.9</t>
    </r>
    <phoneticPr fontId="1" type="noConversion"/>
  </si>
  <si>
    <r>
      <rPr>
        <u/>
        <sz val="13.5"/>
        <color theme="1"/>
        <rFont val="等线"/>
        <family val="3"/>
        <charset val="134"/>
        <scheme val="minor"/>
      </rPr>
      <t>72.0</t>
    </r>
    <r>
      <rPr>
        <sz val="13.5"/>
        <color theme="1"/>
        <rFont val="等线"/>
        <family val="3"/>
        <charset val="134"/>
        <scheme val="minor"/>
      </rPr>
      <t xml:space="preserve"> / </t>
    </r>
    <r>
      <rPr>
        <u/>
        <sz val="13.5"/>
        <color theme="1"/>
        <rFont val="等线"/>
        <family val="3"/>
        <charset val="134"/>
        <scheme val="minor"/>
      </rPr>
      <t>72.5</t>
    </r>
    <r>
      <rPr>
        <sz val="13.5"/>
        <color theme="1"/>
        <rFont val="等线"/>
        <family val="3"/>
        <charset val="134"/>
        <scheme val="minor"/>
      </rPr>
      <t xml:space="preserve"> / </t>
    </r>
    <r>
      <rPr>
        <u/>
        <sz val="13.5"/>
        <color theme="1"/>
        <rFont val="等线"/>
        <family val="3"/>
        <charset val="134"/>
        <scheme val="minor"/>
      </rPr>
      <t>46.5</t>
    </r>
    <phoneticPr fontId="1" type="noConversion"/>
  </si>
  <si>
    <r>
      <rPr>
        <u/>
        <sz val="13.5"/>
        <color theme="1"/>
        <rFont val="等线"/>
        <family val="3"/>
        <charset val="134"/>
        <scheme val="minor"/>
      </rPr>
      <t>67.7</t>
    </r>
    <r>
      <rPr>
        <sz val="13.5"/>
        <color theme="1"/>
        <rFont val="等线"/>
        <family val="3"/>
        <charset val="134"/>
        <scheme val="minor"/>
      </rPr>
      <t xml:space="preserve"> / </t>
    </r>
    <r>
      <rPr>
        <u/>
        <sz val="13.5"/>
        <color theme="1"/>
        <rFont val="等线"/>
        <family val="3"/>
        <charset val="134"/>
        <scheme val="minor"/>
      </rPr>
      <t>68.4</t>
    </r>
    <r>
      <rPr>
        <sz val="13.5"/>
        <color theme="1"/>
        <rFont val="等线"/>
        <family val="3"/>
        <charset val="134"/>
        <scheme val="minor"/>
      </rPr>
      <t xml:space="preserve"> / </t>
    </r>
    <r>
      <rPr>
        <u/>
        <sz val="13.5"/>
        <color theme="1"/>
        <rFont val="等线"/>
        <family val="3"/>
        <charset val="134"/>
        <scheme val="minor"/>
      </rPr>
      <t>55.5</t>
    </r>
    <phoneticPr fontId="1" type="noConversion"/>
  </si>
  <si>
    <t>wst-2</t>
    <phoneticPr fontId="1" type="noConversion"/>
  </si>
  <si>
    <t>wst-3</t>
    <phoneticPr fontId="1" type="noConversion"/>
  </si>
  <si>
    <t>clip ViT-B/32- patch</t>
    <phoneticPr fontId="1" type="noConversion"/>
  </si>
  <si>
    <t>dinov2-with-registers-base-patch</t>
    <phoneticPr fontId="1" type="noConversion"/>
  </si>
  <si>
    <t>dinov2-with-registers-base-mean</t>
    <phoneticPr fontId="1" type="noConversion"/>
  </si>
  <si>
    <t>ResNet</t>
    <phoneticPr fontId="1" type="noConversion"/>
  </si>
  <si>
    <t>MODEL</t>
    <phoneticPr fontId="1" type="noConversion"/>
  </si>
  <si>
    <t>METHOD</t>
    <phoneticPr fontId="1" type="noConversion"/>
  </si>
  <si>
    <t>RPO &amp; Sparse</t>
    <phoneticPr fontId="1" type="noConversion"/>
  </si>
  <si>
    <t>wst3</t>
    <phoneticPr fontId="1" type="noConversion"/>
  </si>
  <si>
    <t>RPO &amp; Gaussian</t>
    <phoneticPr fontId="1" type="noConversion"/>
  </si>
  <si>
    <t>Mahalanobis</t>
    <phoneticPr fontId="1" type="noConversion"/>
  </si>
  <si>
    <t>wst2</t>
    <phoneticPr fontId="1" type="noConversion"/>
  </si>
  <si>
    <t>wst2 &amp; clip</t>
    <phoneticPr fontId="1" type="noConversion"/>
  </si>
  <si>
    <t>dinov2-mean</t>
    <phoneticPr fontId="1" type="noConversion"/>
  </si>
  <si>
    <t>dinov2-cls token</t>
    <phoneticPr fontId="1" type="noConversion"/>
  </si>
  <si>
    <t>dinov2</t>
    <phoneticPr fontId="1" type="noConversion"/>
  </si>
  <si>
    <t>PatchCore</t>
    <phoneticPr fontId="1" type="noConversion"/>
  </si>
  <si>
    <t>PaDim</t>
    <phoneticPr fontId="1" type="noConversion"/>
  </si>
  <si>
    <t>Memory Coreset</t>
    <phoneticPr fontId="1" type="noConversion"/>
  </si>
  <si>
    <t>clip</t>
    <phoneticPr fontId="1" type="noConversion"/>
  </si>
  <si>
    <t>clip</t>
    <phoneticPr fontId="1" type="noConversion"/>
  </si>
  <si>
    <t>dinov2-mean</t>
    <phoneticPr fontId="1" type="noConversion"/>
  </si>
  <si>
    <t>wst2-Sparse(2048)</t>
    <phoneticPr fontId="1" type="noConversion"/>
  </si>
  <si>
    <t>wst3-Sparse(4096)</t>
    <phoneticPr fontId="1" type="noConversion"/>
  </si>
  <si>
    <t>wst2-Gaussian(2048)</t>
    <phoneticPr fontId="1" type="noConversion"/>
  </si>
  <si>
    <t>wst3-Gaussian(4096)</t>
    <phoneticPr fontId="1" type="noConversion"/>
  </si>
  <si>
    <t>wst2clip-Sparse</t>
    <phoneticPr fontId="1" type="noConversion"/>
  </si>
  <si>
    <t>wst2dino-cls-Sparse</t>
    <phoneticPr fontId="1" type="noConversion"/>
  </si>
  <si>
    <t>PatchCore</t>
    <phoneticPr fontId="1" type="noConversion"/>
  </si>
  <si>
    <t>clip-patch</t>
    <phoneticPr fontId="1" type="noConversion"/>
  </si>
  <si>
    <t>dinov2-patch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</si>
</sst>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81" formatCode="0.000_);[Red]\(0.000\)"/>
  </numFmts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Source Sans Pro"/>
      <family val="2"/>
    </font>
    <font>
      <b/>
      <sz val="11"/>
      <color theme="1"/>
      <name val="等线"/>
      <family val="3"/>
      <charset val="134"/>
      <scheme val="minor"/>
    </font>
    <font>
      <sz val="11"/>
      <color theme="1"/>
      <name val="新宋体"/>
      <family val="3"/>
      <charset val="134"/>
    </font>
    <font>
      <u/>
      <sz val="11"/>
      <color theme="1"/>
      <name val="新宋体"/>
      <family val="3"/>
      <charset val="134"/>
    </font>
    <font>
      <b/>
      <sz val="11"/>
      <color theme="1"/>
      <name val="新宋体"/>
      <family val="3"/>
      <charset val="134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13.5"/>
      <color theme="1"/>
      <name val="等线"/>
      <family val="3"/>
      <charset val="134"/>
      <scheme val="minor"/>
    </font>
    <font>
      <b/>
      <sz val="13.5"/>
      <color theme="1"/>
      <name val="等线"/>
      <family val="3"/>
      <charset val="134"/>
      <scheme val="minor"/>
    </font>
    <font>
      <u/>
      <sz val="13.5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81" fontId="6" fillId="2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1"/>
  <sheetViews>
    <sheetView zoomScale="110" zoomScaleNormal="110" workbookViewId="0">
      <selection activeCell="A22" sqref="A22"/>
    </sheetView>
  </sheetViews>
  <sheetFormatPr defaultRowHeight="13.95" x14ac:dyDescent="0.25"/>
  <cols>
    <col min="1" max="2" width="30.77734375" customWidth="1"/>
    <col min="3" max="5" width="25.77734375" customWidth="1"/>
  </cols>
  <sheetData>
    <row r="1" spans="1:5" ht="24.05" customHeight="1" x14ac:dyDescent="0.25">
      <c r="A1" s="1" t="s">
        <v>97</v>
      </c>
      <c r="B1" s="1" t="s">
        <v>98</v>
      </c>
      <c r="C1" s="1" t="s">
        <v>0</v>
      </c>
      <c r="D1" s="1" t="s">
        <v>1</v>
      </c>
      <c r="E1" s="1" t="s">
        <v>2</v>
      </c>
    </row>
    <row r="2" spans="1:5" ht="24.05" hidden="1" customHeight="1" x14ac:dyDescent="0.25">
      <c r="A2" s="4" t="s">
        <v>100</v>
      </c>
      <c r="B2" s="4" t="s">
        <v>99</v>
      </c>
      <c r="C2" s="3">
        <v>0.45716227201137999</v>
      </c>
      <c r="D2" s="3">
        <v>0.51486435306867495</v>
      </c>
      <c r="E2" s="3">
        <v>0.92551440329218104</v>
      </c>
    </row>
    <row r="3" spans="1:5" ht="24.05" hidden="1" customHeight="1" x14ac:dyDescent="0.25">
      <c r="A3" s="4" t="s">
        <v>100</v>
      </c>
      <c r="B3" s="4" t="s">
        <v>101</v>
      </c>
      <c r="C3" s="2">
        <v>0.48019737844840699</v>
      </c>
      <c r="D3" s="2">
        <v>0.51033753641396296</v>
      </c>
      <c r="E3" s="2">
        <v>0.94135802469135799</v>
      </c>
    </row>
    <row r="4" spans="1:5" ht="24.05" customHeight="1" x14ac:dyDescent="0.25">
      <c r="A4" s="4" t="s">
        <v>100</v>
      </c>
      <c r="B4" s="4" t="s">
        <v>110</v>
      </c>
      <c r="C4" s="6">
        <v>0.52500000000000002</v>
      </c>
      <c r="D4" s="6">
        <v>0.54700000000000004</v>
      </c>
      <c r="E4" s="6"/>
    </row>
    <row r="5" spans="1:5" ht="24.05" customHeight="1" x14ac:dyDescent="0.25">
      <c r="A5" s="4" t="s">
        <v>100</v>
      </c>
      <c r="B5" s="4" t="s">
        <v>102</v>
      </c>
      <c r="C5" s="6">
        <v>0.47099999999999997</v>
      </c>
      <c r="D5" s="6">
        <v>0.50600000000000001</v>
      </c>
      <c r="E5" s="6"/>
    </row>
    <row r="6" spans="1:5" ht="24.05" customHeight="1" x14ac:dyDescent="0.25">
      <c r="A6" s="4" t="s">
        <v>103</v>
      </c>
      <c r="B6" s="4" t="s">
        <v>102</v>
      </c>
      <c r="C6" s="6">
        <v>0.42099999999999999</v>
      </c>
      <c r="D6" s="6">
        <v>0.47599999999999998</v>
      </c>
      <c r="E6" s="6">
        <v>0.96</v>
      </c>
    </row>
    <row r="7" spans="1:5" ht="24.05" customHeight="1" x14ac:dyDescent="0.25">
      <c r="A7" s="4" t="s">
        <v>104</v>
      </c>
      <c r="B7" s="4" t="s">
        <v>102</v>
      </c>
      <c r="C7" s="7">
        <f>(0.457205 +0.550591+0.632697)/3</f>
        <v>0.54683099999999996</v>
      </c>
      <c r="D7" s="7">
        <f>(0.497237+0.561964+0.644344)/3</f>
        <v>0.5678483333333334</v>
      </c>
      <c r="E7" s="7">
        <f>(0.97037+0.897531+0.880247)/3</f>
        <v>0.91604933333333316</v>
      </c>
    </row>
    <row r="8" spans="1:5" ht="24.05" hidden="1" customHeight="1" x14ac:dyDescent="0.25">
      <c r="A8" s="4" t="s">
        <v>105</v>
      </c>
      <c r="B8" s="4" t="s">
        <v>99</v>
      </c>
      <c r="C8" s="5">
        <v>0.62498475842097201</v>
      </c>
      <c r="D8" s="5">
        <v>0.65801579053090897</v>
      </c>
      <c r="E8" s="5">
        <v>0.85246913580246897</v>
      </c>
    </row>
    <row r="9" spans="1:5" ht="24.05" hidden="1" customHeight="1" x14ac:dyDescent="0.25">
      <c r="A9" s="4" t="s">
        <v>106</v>
      </c>
      <c r="B9" s="4" t="s">
        <v>99</v>
      </c>
      <c r="C9" s="5">
        <v>0.62017604023776796</v>
      </c>
      <c r="D9" s="5">
        <v>0.60584810695871605</v>
      </c>
      <c r="E9" s="5">
        <v>0.70452674897119305</v>
      </c>
    </row>
    <row r="10" spans="1:5" ht="24.05" hidden="1" customHeight="1" x14ac:dyDescent="0.25">
      <c r="A10" s="4" t="s">
        <v>105</v>
      </c>
      <c r="B10" s="4" t="s">
        <v>101</v>
      </c>
      <c r="C10" s="3">
        <v>0.62326754051719702</v>
      </c>
      <c r="D10" s="3">
        <v>0.65207522213604396</v>
      </c>
      <c r="E10" s="3">
        <v>0.85987654320987605</v>
      </c>
    </row>
    <row r="11" spans="1:5" ht="24.05" customHeight="1" x14ac:dyDescent="0.25">
      <c r="A11" s="4" t="s">
        <v>107</v>
      </c>
      <c r="B11" s="4" t="s">
        <v>108</v>
      </c>
      <c r="C11" s="7">
        <v>0.59299999999999997</v>
      </c>
      <c r="D11" s="7">
        <v>0.64200000000000002</v>
      </c>
      <c r="E11" s="6"/>
    </row>
    <row r="12" spans="1:5" ht="24.05" customHeight="1" x14ac:dyDescent="0.25">
      <c r="A12" s="4" t="s">
        <v>107</v>
      </c>
      <c r="B12" s="4" t="s">
        <v>109</v>
      </c>
      <c r="C12" s="6">
        <v>0.50702001727378898</v>
      </c>
      <c r="D12" s="6">
        <v>0.55485374271022203</v>
      </c>
      <c r="E12" s="6">
        <v>0.93374485596707801</v>
      </c>
    </row>
    <row r="13" spans="1:5" ht="24.05" customHeight="1" x14ac:dyDescent="0.25">
      <c r="A13" s="4" t="s">
        <v>105</v>
      </c>
      <c r="B13" s="4" t="s">
        <v>110</v>
      </c>
      <c r="C13" s="6">
        <v>0.31</v>
      </c>
      <c r="D13" s="6">
        <v>0.434</v>
      </c>
      <c r="E13" s="6"/>
    </row>
    <row r="14" spans="1:5" ht="24.05" customHeight="1" x14ac:dyDescent="0.25">
      <c r="A14" s="4" t="s">
        <v>105</v>
      </c>
      <c r="B14" s="4" t="s">
        <v>102</v>
      </c>
      <c r="C14" s="7">
        <v>0.67600000000000005</v>
      </c>
      <c r="D14" s="7">
        <v>0.72499999999999998</v>
      </c>
      <c r="E14" s="6"/>
    </row>
    <row r="15" spans="1:5" ht="24.05" customHeight="1" x14ac:dyDescent="0.25">
      <c r="A15" s="4" t="s">
        <v>106</v>
      </c>
      <c r="B15" s="4" t="s">
        <v>102</v>
      </c>
      <c r="C15" s="8">
        <v>0.68653597012650502</v>
      </c>
      <c r="D15" s="8">
        <v>0.74611451675648899</v>
      </c>
      <c r="E15" s="8">
        <v>0.79485596707818895</v>
      </c>
    </row>
    <row r="16" spans="1:5" ht="24.05" hidden="1" customHeight="1" x14ac:dyDescent="0.25">
      <c r="A16" s="4" t="s">
        <v>111</v>
      </c>
      <c r="B16" s="4" t="s">
        <v>99</v>
      </c>
      <c r="C16" s="3">
        <v>0.51777295127775202</v>
      </c>
      <c r="D16" s="3">
        <v>0.56766318330585797</v>
      </c>
      <c r="E16" s="3">
        <v>0.937037037037036</v>
      </c>
    </row>
    <row r="17" spans="1:5" ht="24.05" hidden="1" customHeight="1" x14ac:dyDescent="0.25">
      <c r="A17" s="4" t="s">
        <v>111</v>
      </c>
      <c r="B17" s="4" t="s">
        <v>101</v>
      </c>
      <c r="C17" s="3">
        <v>0.51308235533201196</v>
      </c>
      <c r="D17" s="3">
        <v>0.55750116685189099</v>
      </c>
      <c r="E17" s="3">
        <v>0.92242798353909405</v>
      </c>
    </row>
    <row r="18" spans="1:5" ht="24.05" customHeight="1" x14ac:dyDescent="0.25">
      <c r="A18" s="4" t="s">
        <v>111</v>
      </c>
      <c r="B18" s="4" t="s">
        <v>108</v>
      </c>
      <c r="C18" s="6">
        <v>0.38900000000000001</v>
      </c>
      <c r="D18" s="6">
        <v>0.46100000000000002</v>
      </c>
      <c r="E18" s="6"/>
    </row>
    <row r="19" spans="1:5" ht="24.05" customHeight="1" x14ac:dyDescent="0.25">
      <c r="A19" s="4" t="s">
        <v>111</v>
      </c>
      <c r="B19" s="4" t="s">
        <v>109</v>
      </c>
      <c r="C19" s="6">
        <v>0.37489838947314902</v>
      </c>
      <c r="D19" s="6">
        <v>0.43654577297612501</v>
      </c>
      <c r="E19" s="6">
        <v>0.98436213991769494</v>
      </c>
    </row>
    <row r="20" spans="1:5" ht="24.05" customHeight="1" x14ac:dyDescent="0.25">
      <c r="A20" s="4" t="s">
        <v>111</v>
      </c>
      <c r="B20" s="4" t="s">
        <v>110</v>
      </c>
      <c r="C20" s="6">
        <v>0.46700000000000003</v>
      </c>
      <c r="D20" s="6">
        <v>0.52900000000000003</v>
      </c>
      <c r="E20" s="6"/>
    </row>
    <row r="21" spans="1:5" ht="24.05" customHeight="1" x14ac:dyDescent="0.25">
      <c r="A21" s="4" t="s">
        <v>111</v>
      </c>
      <c r="B21" s="4" t="s">
        <v>102</v>
      </c>
      <c r="C21" s="6">
        <v>0.51400000000000001</v>
      </c>
      <c r="D21" s="6">
        <v>0.58599999999999997</v>
      </c>
      <c r="E21" s="6"/>
    </row>
  </sheetData>
  <autoFilter ref="A1:E21" xr:uid="{00000000-0001-0000-0000-000000000000}">
    <filterColumn colId="1">
      <filters>
        <filter val="Mahalanobis"/>
        <filter val="Memory Coreset"/>
        <filter val="PaDim"/>
        <filter val="PatchCore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27C9-61AD-4C27-8398-7C46C8F70687}">
  <dimension ref="A1:E14"/>
  <sheetViews>
    <sheetView tabSelected="1" workbookViewId="0">
      <selection activeCell="F16" sqref="F16"/>
    </sheetView>
  </sheetViews>
  <sheetFormatPr defaultRowHeight="13.95" x14ac:dyDescent="0.25"/>
  <cols>
    <col min="1" max="2" width="30.77734375" customWidth="1"/>
    <col min="3" max="5" width="25.77734375" customWidth="1"/>
  </cols>
  <sheetData>
    <row r="1" spans="1:5" ht="24.05" customHeight="1" x14ac:dyDescent="0.25">
      <c r="A1" s="1" t="s">
        <v>97</v>
      </c>
      <c r="B1" s="1" t="s">
        <v>98</v>
      </c>
      <c r="C1" s="1" t="s">
        <v>0</v>
      </c>
      <c r="D1" s="1" t="s">
        <v>1</v>
      </c>
      <c r="E1" s="1" t="s">
        <v>2</v>
      </c>
    </row>
    <row r="2" spans="1:5" ht="21.95" customHeight="1" x14ac:dyDescent="0.25">
      <c r="A2" s="17" t="s">
        <v>112</v>
      </c>
      <c r="B2" s="17" t="s">
        <v>102</v>
      </c>
      <c r="C2" s="18">
        <v>0.51413656454808698</v>
      </c>
      <c r="D2" s="18">
        <v>0.512197574958008</v>
      </c>
      <c r="E2" s="18">
        <v>0.80905349794238601</v>
      </c>
    </row>
    <row r="3" spans="1:5" ht="21.95" customHeight="1" x14ac:dyDescent="0.25">
      <c r="A3" s="17" t="s">
        <v>113</v>
      </c>
      <c r="B3" s="17" t="s">
        <v>102</v>
      </c>
      <c r="C3" s="18">
        <v>0.69547579129197701</v>
      </c>
      <c r="D3" s="18">
        <v>0.67189928317463998</v>
      </c>
      <c r="E3" s="18">
        <v>0.60349794238683097</v>
      </c>
    </row>
    <row r="4" spans="1:5" ht="21.95" customHeight="1" x14ac:dyDescent="0.25">
      <c r="A4" s="4" t="s">
        <v>114</v>
      </c>
      <c r="B4" s="4" t="s">
        <v>102</v>
      </c>
      <c r="C4" s="18">
        <v>0.42546486816034101</v>
      </c>
      <c r="D4" s="18">
        <v>0.47431262034051902</v>
      </c>
      <c r="E4" s="18">
        <v>0.904938271604938</v>
      </c>
    </row>
    <row r="5" spans="1:5" ht="21.95" customHeight="1" x14ac:dyDescent="0.25">
      <c r="A5" s="4" t="s">
        <v>115</v>
      </c>
      <c r="B5" s="4" t="s">
        <v>102</v>
      </c>
      <c r="C5" s="18">
        <v>0.426374282375654</v>
      </c>
      <c r="D5" s="18">
        <v>0.48064977056659802</v>
      </c>
      <c r="E5" s="18">
        <v>0.89650205761316804</v>
      </c>
    </row>
    <row r="6" spans="1:5" ht="21.95" customHeight="1" x14ac:dyDescent="0.25">
      <c r="A6" s="4" t="s">
        <v>116</v>
      </c>
      <c r="B6" s="4" t="s">
        <v>102</v>
      </c>
      <c r="C6" s="18">
        <v>0.42860844383478103</v>
      </c>
      <c r="D6" s="18">
        <v>0.47621462187498398</v>
      </c>
      <c r="E6" s="18">
        <v>0.905349794238683</v>
      </c>
    </row>
    <row r="7" spans="1:5" ht="21.95" customHeight="1" x14ac:dyDescent="0.25">
      <c r="A7" s="4" t="s">
        <v>117</v>
      </c>
      <c r="B7" s="4" t="s">
        <v>102</v>
      </c>
      <c r="C7" s="18">
        <v>0.42946959304984</v>
      </c>
      <c r="D7" s="18">
        <v>0.47925732343497102</v>
      </c>
      <c r="E7" s="18">
        <v>0.89979423868312702</v>
      </c>
    </row>
    <row r="8" spans="1:5" ht="21.95" customHeight="1" x14ac:dyDescent="0.25">
      <c r="A8" s="4" t="s">
        <v>118</v>
      </c>
      <c r="B8" s="4" t="s">
        <v>102</v>
      </c>
      <c r="C8" s="18">
        <v>0.57983793120967297</v>
      </c>
      <c r="D8" s="18">
        <v>0.58072275097811099</v>
      </c>
      <c r="E8" s="18">
        <v>0.86769547325102803</v>
      </c>
    </row>
    <row r="9" spans="1:5" ht="21.95" customHeight="1" x14ac:dyDescent="0.25">
      <c r="A9" s="4" t="s">
        <v>119</v>
      </c>
      <c r="B9" s="4" t="s">
        <v>102</v>
      </c>
      <c r="C9" s="18">
        <v>0.51554387034496696</v>
      </c>
      <c r="D9" s="18">
        <v>0.53061476670806895</v>
      </c>
      <c r="E9" s="18">
        <v>0.91255144032921798</v>
      </c>
    </row>
    <row r="10" spans="1:5" ht="21.95" customHeight="1" x14ac:dyDescent="0.25">
      <c r="A10" s="19" t="s">
        <v>112</v>
      </c>
      <c r="B10" s="19" t="s">
        <v>110</v>
      </c>
      <c r="C10" s="18">
        <v>0.53919626073261095</v>
      </c>
      <c r="D10" s="18">
        <v>0.53254066935827404</v>
      </c>
      <c r="E10" s="18">
        <v>0.81646090534979399</v>
      </c>
    </row>
    <row r="11" spans="1:5" ht="21.95" customHeight="1" x14ac:dyDescent="0.25">
      <c r="A11" s="19" t="s">
        <v>113</v>
      </c>
      <c r="B11" s="19" t="s">
        <v>110</v>
      </c>
      <c r="C11" s="18">
        <v>0.71173093532489895</v>
      </c>
      <c r="D11" s="18">
        <v>0.68062472669034801</v>
      </c>
      <c r="E11" s="18">
        <v>0.61234567901234505</v>
      </c>
    </row>
    <row r="12" spans="1:5" ht="21.95" customHeight="1" x14ac:dyDescent="0.25">
      <c r="A12" s="19" t="s">
        <v>115</v>
      </c>
      <c r="B12" s="19" t="s">
        <v>110</v>
      </c>
      <c r="C12" s="18">
        <v>0.44994157394706003</v>
      </c>
      <c r="D12" s="18">
        <v>0.47430087381621899</v>
      </c>
      <c r="E12" s="18">
        <v>0.92119341563785995</v>
      </c>
    </row>
    <row r="13" spans="1:5" ht="21.95" customHeight="1" x14ac:dyDescent="0.25">
      <c r="A13" s="19" t="s">
        <v>121</v>
      </c>
      <c r="B13" s="19" t="s">
        <v>120</v>
      </c>
      <c r="C13" s="18">
        <v>0.388108393029517</v>
      </c>
      <c r="D13" s="18">
        <v>0.42072097432556599</v>
      </c>
      <c r="E13" s="18">
        <v>0.93909465020576099</v>
      </c>
    </row>
    <row r="14" spans="1:5" ht="21.95" customHeight="1" x14ac:dyDescent="0.25">
      <c r="A14" s="19" t="s">
        <v>122</v>
      </c>
      <c r="B14" s="19" t="s">
        <v>120</v>
      </c>
      <c r="C14" s="18">
        <v>0.591128130874358</v>
      </c>
      <c r="D14" s="18">
        <v>0.57620456104781004</v>
      </c>
      <c r="E14" s="18">
        <v>0.781893004115226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9BEE-DF16-4076-9078-B6189D9C7377}">
  <dimension ref="A2:B6"/>
  <sheetViews>
    <sheetView workbookViewId="0">
      <selection activeCell="B17" sqref="B17"/>
    </sheetView>
  </sheetViews>
  <sheetFormatPr defaultRowHeight="13.95" x14ac:dyDescent="0.25"/>
  <cols>
    <col min="1" max="1" width="33.33203125" customWidth="1"/>
    <col min="2" max="2" width="31.44140625" customWidth="1"/>
  </cols>
  <sheetData>
    <row r="2" spans="1:2" x14ac:dyDescent="0.25">
      <c r="A2" t="s">
        <v>93</v>
      </c>
      <c r="B2">
        <v>3.26082946777343</v>
      </c>
    </row>
    <row r="3" spans="1:2" x14ac:dyDescent="0.25">
      <c r="A3" t="s">
        <v>94</v>
      </c>
      <c r="B3">
        <v>3.89585273742675</v>
      </c>
    </row>
    <row r="4" spans="1:2" x14ac:dyDescent="0.25">
      <c r="A4" t="s">
        <v>91</v>
      </c>
      <c r="B4">
        <v>2.0060737657546999</v>
      </c>
    </row>
    <row r="5" spans="1:2" x14ac:dyDescent="0.25">
      <c r="A5" t="s">
        <v>92</v>
      </c>
      <c r="B5">
        <v>2.1244266605377198</v>
      </c>
    </row>
    <row r="6" spans="1:2" x14ac:dyDescent="0.25">
      <c r="A6" t="s">
        <v>95</v>
      </c>
      <c r="B6">
        <v>4.9434727048873901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7544-C32D-4ECC-A798-9D82C4EDB419}">
  <dimension ref="A1:N30"/>
  <sheetViews>
    <sheetView workbookViewId="0">
      <selection activeCell="A4" sqref="A4"/>
    </sheetView>
  </sheetViews>
  <sheetFormatPr defaultRowHeight="13.95" x14ac:dyDescent="0.25"/>
  <cols>
    <col min="1" max="10" width="20.77734375" customWidth="1"/>
    <col min="11" max="11" width="12.77734375" customWidth="1"/>
    <col min="12" max="12" width="13.6640625" customWidth="1"/>
    <col min="13" max="13" width="17.109375" customWidth="1"/>
  </cols>
  <sheetData>
    <row r="1" spans="1:14" ht="25" customHeight="1" x14ac:dyDescent="0.25">
      <c r="A1" s="9"/>
      <c r="B1" s="14" t="s">
        <v>43</v>
      </c>
      <c r="C1" s="14"/>
      <c r="D1" s="14"/>
      <c r="E1" s="14"/>
      <c r="F1" s="14"/>
      <c r="G1" s="14"/>
      <c r="H1" s="14"/>
      <c r="I1" s="14"/>
      <c r="J1" s="14"/>
    </row>
    <row r="2" spans="1:14" ht="25" customHeight="1" x14ac:dyDescent="0.25">
      <c r="A2" s="9" t="s">
        <v>4</v>
      </c>
      <c r="B2" s="9" t="s">
        <v>15</v>
      </c>
      <c r="C2" s="9" t="s">
        <v>17</v>
      </c>
      <c r="D2" s="9" t="s">
        <v>19</v>
      </c>
      <c r="E2" s="9" t="s">
        <v>21</v>
      </c>
      <c r="F2" s="9" t="s">
        <v>23</v>
      </c>
      <c r="G2" s="9" t="s">
        <v>25</v>
      </c>
      <c r="H2" s="9" t="s">
        <v>27</v>
      </c>
      <c r="I2" s="9" t="s">
        <v>29</v>
      </c>
      <c r="J2" s="9" t="s">
        <v>31</v>
      </c>
    </row>
    <row r="3" spans="1:14" ht="25" customHeight="1" x14ac:dyDescent="0.25">
      <c r="A3" s="9" t="s">
        <v>7</v>
      </c>
      <c r="B3" s="9" t="str">
        <f>TEXT(L4,"0.0%") &amp; "/" &amp; TEXT(M4,"0.0%") &amp; "/" &amp; TEXT(N4,"0.0%")</f>
        <v>73.6%/71.2%/72.1%</v>
      </c>
      <c r="C3" s="9" t="str">
        <f>TEXT(L5,"0.0%") &amp; "/" &amp; TEXT(M5,"0.0%") &amp; "/" &amp; TEXT(N5,"0.0%")</f>
        <v>92.5%/90.0%/24.5%</v>
      </c>
      <c r="D3" s="9" t="str">
        <f>TEXT(L6,"0.0%") &amp; "/" &amp; TEXT(M6,"0.0%") &amp; "/" &amp; TEXT(N6,"0.0%")</f>
        <v>70.6%/66.3%/71.5%</v>
      </c>
      <c r="E3" s="9" t="str">
        <f>TEXT(L7,"0.0%") &amp; "/" &amp; TEXT(M7,"0.0%") &amp; "/" &amp; TEXT(N7,"0.0%")</f>
        <v>56.4%/56.0%/92.6%</v>
      </c>
      <c r="F3" s="9" t="str">
        <f>TEXT(L8,"0.0%") &amp; "/" &amp; TEXT(M8,"0.0%") &amp; "/" &amp; TEXT(N8,"0.0%")</f>
        <v>60.6%/56.9%/86.6%</v>
      </c>
      <c r="G3" s="9" t="str">
        <f>TEXT(L9,"0.0%") &amp; "/" &amp; TEXT(M9,"0.0%") &amp; "/" &amp; TEXT(N9,"0.0%")</f>
        <v>60.8%/57.3%/86.0%</v>
      </c>
      <c r="H3" s="9" t="str">
        <f>TEXT(L10,"0.0%") &amp; "/" &amp; TEXT(M10,"0.0%") &amp; "/" &amp; TEXT(N10,"0.0%")</f>
        <v>65.8%/62.1%/81.4%</v>
      </c>
      <c r="I3" s="9" t="str">
        <f>TEXT(L11,"0.0%") &amp; "/" &amp; TEXT(M11,"0.0%") &amp; "/" &amp; TEXT(N11,"0.0%")</f>
        <v>55.4%/52.9%/91.3%</v>
      </c>
      <c r="J3" s="9" t="str">
        <f>TEXT(AVERAGE(L4:L11), "0.0%") &amp; "/" &amp; TEXT(AVERAGE(M4:M11), "0.0%") &amp; "/" &amp; TEXT(AVERAGE(N4:N11), "0.0%")</f>
        <v>67.0%/64.1%/75.7%</v>
      </c>
      <c r="K3" s="10" t="s">
        <v>5</v>
      </c>
      <c r="L3" s="10" t="s">
        <v>32</v>
      </c>
      <c r="M3" s="10" t="s">
        <v>33</v>
      </c>
      <c r="N3" s="10" t="s">
        <v>34</v>
      </c>
    </row>
    <row r="4" spans="1:14" ht="25" customHeight="1" x14ac:dyDescent="0.25">
      <c r="A4" s="9" t="s">
        <v>96</v>
      </c>
      <c r="B4" s="9" t="str">
        <f>TEXT(C11,"0.0%") &amp; "/" &amp; TEXT(D11,"0.0%") &amp; "/" &amp; TEXT(E11,"0.0%")</f>
        <v>53.1%/52.0%/93.7%</v>
      </c>
      <c r="C4" s="9" t="str">
        <f>TEXT(C12,"0.0%") &amp; "/" &amp; TEXT(D12,"0.0%") &amp; "/" &amp; TEXT(E12,"0.0%")</f>
        <v>68.5%/63.1%/81.9%</v>
      </c>
      <c r="D4" s="9" t="str">
        <f>TEXT(C13,"0.0%") &amp; "/" &amp; TEXT(D13,"0.0%") &amp; "/" &amp; TEXT(E13,"0.0%")</f>
        <v>54.2%/53.3%/96.6%</v>
      </c>
      <c r="E4" s="9" t="str">
        <f>TEXT(C14,"0.0%") &amp; "/" &amp; TEXT(D14,"0.0%") &amp; "/" &amp; TEXT(E14,"0.0%")</f>
        <v>51.3%/50.5%/97.0%</v>
      </c>
      <c r="F4" s="9" t="str">
        <f>TEXT(C15,"0.0%") &amp; "/" &amp; TEXT(D15,"0.0%") &amp; "/" &amp; TEXT(E15,"0.0%")</f>
        <v>47.5%/47.4%/95.9%</v>
      </c>
      <c r="G4" s="9" t="str">
        <f>TEXT(C16,"0.0%") &amp; "/" &amp; TEXT(D16,"0.0%") &amp; "/" &amp; TEXT(E16,"0.0%")</f>
        <v>47.7%/47.3%/95.6%</v>
      </c>
      <c r="H4" s="9" t="str">
        <f>TEXT(C17,"0.0%") &amp; "/" &amp; TEXT(D17,"0.0%") &amp; "/" &amp; TEXT(E17,"0.0%")</f>
        <v>59.6%/61.7%/96.1%</v>
      </c>
      <c r="I4" s="9" t="str">
        <f>TEXT(C18,"0.0%") &amp; "/" &amp; TEXT(D18,"0.0%") &amp; "/" &amp; TEXT(E18,"0.0%")</f>
        <v>37.2%/40.9%/99.1%</v>
      </c>
      <c r="J4" s="9" t="str">
        <f>TEXT(AVERAGE(C11:C18), "0.0%") &amp; "/" &amp; TEXT(AVERAGE(D11:D18), "0.0%") &amp; "/" &amp; TEXT(AVERAGE(E11:E18), "0.0%")</f>
        <v>52.4%/52.0%/94.5%</v>
      </c>
      <c r="K4" s="10" t="s">
        <v>35</v>
      </c>
      <c r="L4" s="10">
        <v>0.73646565277777698</v>
      </c>
      <c r="M4" s="10">
        <v>0.71239611760335497</v>
      </c>
      <c r="N4" s="10">
        <v>0.72133333333333305</v>
      </c>
    </row>
    <row r="5" spans="1:14" ht="25" customHeight="1" x14ac:dyDescent="0.25">
      <c r="A5" s="9" t="s">
        <v>9</v>
      </c>
      <c r="B5" s="9" t="str">
        <f>TEXT(H11,"0.0%") &amp; "/" &amp; TEXT(I11,"0.0%") &amp; "/" &amp; TEXT(J11,"0.0%")</f>
        <v>64.0%/67.5%/94.3%</v>
      </c>
      <c r="C5" s="9" t="str">
        <f>TEXT(H12,"0.0%") &amp; "/" &amp; TEXT(I12,"0.0%") &amp; "/" &amp; TEXT(J12,"0.0%")</f>
        <v>80.3%/76.6%/59.2%</v>
      </c>
      <c r="D5" s="9" t="str">
        <f>TEXT(H13,"0.0%") &amp; "/" &amp; TEXT(I13,"0.0%") &amp; "/" &amp; TEXT(J13,"0.0%")</f>
        <v>91.7%/92.2%/44.6%</v>
      </c>
      <c r="E5" s="9" t="str">
        <f>TEXT(H14,"0.0%") &amp; "/" &amp; TEXT(I14,"0.0%") &amp; "/" &amp; TEXT(J14,"0.0%")</f>
        <v>80.9%/81.1%/69.0%</v>
      </c>
      <c r="F5" s="9" t="str">
        <f>TEXT(H15,"0.0%") &amp; "/" &amp; TEXT(I15,"0.0%") &amp; "/" &amp; TEXT(J15,"0.0%")</f>
        <v>56.0%/54.9%/90.0%</v>
      </c>
      <c r="G5" s="9" t="str">
        <f>TEXT(H16,"0.0%") &amp; "/" &amp; TEXT(I16,"0.0%") &amp; "/" &amp; TEXT(J16,"0.0%")</f>
        <v>56.3%/55.0%/89.7%</v>
      </c>
      <c r="H5" s="9" t="str">
        <f>TEXT(H17,"0.0%") &amp; "/" &amp; TEXT(I17,"0.0%") &amp; "/" &amp; TEXT(J17,"0.0%")</f>
        <v>49.1%/52.0%/98.3%</v>
      </c>
      <c r="I5" s="9" t="str">
        <f>TEXT(H18,"0.0%") &amp; "/" &amp; TEXT(I18,"0.0%") &amp; "/" &amp; TEXT(J18,"0.0%")</f>
        <v>62.4%/60.7%/87.1%</v>
      </c>
      <c r="J5" s="9" t="str">
        <f>TEXT(AVERAGE(H11:H18), "0.0%") &amp; "/" &amp; TEXT(AVERAGE(I11:I18), "0.0%") &amp; "/" &amp; TEXT(AVERAGE(J11:J18), "0.0%")</f>
        <v>67.6%/67.5%/79.0%</v>
      </c>
      <c r="K5" s="10" t="s">
        <v>36</v>
      </c>
      <c r="L5" s="10">
        <v>0.92478473611111101</v>
      </c>
      <c r="M5" s="10">
        <v>0.900212318486455</v>
      </c>
      <c r="N5" s="10">
        <v>0.24466666666666601</v>
      </c>
    </row>
    <row r="6" spans="1:14" ht="25" customHeight="1" x14ac:dyDescent="0.25">
      <c r="A6" s="9" t="s">
        <v>11</v>
      </c>
      <c r="B6" s="9" t="str">
        <f>TEXT(B22,"0.0%") &amp; "/" &amp; TEXT(C22,"0.0%") &amp; "/" &amp; TEXT(D22,"0.0%")</f>
        <v>69.6%/68.1%/58.2%</v>
      </c>
      <c r="C6" s="9" t="str">
        <f>TEXT(B23,"0.0%") &amp; "/" &amp; TEXT(C23,"0.0%") &amp; "/" &amp; TEXT(D23,"0.0%")</f>
        <v>86.6%/84.6%/28.5%</v>
      </c>
      <c r="D6" s="9" t="str">
        <f>TEXT(B24,"0.0%") &amp; "/" &amp; TEXT(C24,"0.0%") &amp; "/" &amp; TEXT(D24,"0.0%")</f>
        <v>81.2%/79.2%/33.1%</v>
      </c>
      <c r="E6" s="9" t="str">
        <f>TEXT(B25,"0.0%") &amp; "/" &amp; TEXT(C25,"0.0%") &amp; "/" &amp; TEXT(D25,"0.0%")</f>
        <v>62.8%/63.2%/60.2%</v>
      </c>
      <c r="F6" s="9" t="str">
        <f>TEXT(B26,"0.0%") &amp; "/" &amp; TEXT(C26,"0.0%") &amp; "/" &amp; TEXT(D26,"0.0%")</f>
        <v>63.7%/64.4%/54.6%</v>
      </c>
      <c r="G6" s="9" t="str">
        <f>TEXT(B27,"0.0%") &amp; "/" &amp; TEXT(C27,"0.0%") &amp; "/" &amp; TEXT(D27,"0.0%")</f>
        <v>63.5%/63.6%/56.6%</v>
      </c>
      <c r="H6" s="9" t="str">
        <f>TEXT(B28,"0.0%") &amp; "/" &amp; TEXT(C28,"0.0%") &amp; "/" &amp; TEXT(D28,"0.0%")</f>
        <v>88.4%/86.8%/27.6%</v>
      </c>
      <c r="I6" s="9" t="str">
        <f>TEXT(B29,"0.0%") &amp; "/" &amp; TEXT(C29,"0.0%") &amp; "/" &amp; TEXT(D29,"0.0%")</f>
        <v>75.2%/74.6%/40.2%</v>
      </c>
      <c r="J6" s="9" t="str">
        <f>TEXT(AVERAGE(B22:B29), "0.0%") &amp; "/" &amp; TEXT(AVERAGE(C22:C29), "0.0%") &amp; "/" &amp; TEXT(AVERAGE(D22:D29), "0.0%")</f>
        <v>73.9%/73.1%/44.9%</v>
      </c>
      <c r="K6" s="10" t="s">
        <v>37</v>
      </c>
      <c r="L6" s="10">
        <v>0.70553462499999997</v>
      </c>
      <c r="M6" s="10">
        <v>0.66324814974825397</v>
      </c>
      <c r="N6" s="10">
        <v>0.71533333333333304</v>
      </c>
    </row>
    <row r="7" spans="1:14" ht="25" customHeight="1" x14ac:dyDescent="0.25">
      <c r="A7" s="9" t="s">
        <v>13</v>
      </c>
      <c r="B7" s="9" t="str">
        <f>TEXT(G22,"0.0%") &amp; "/" &amp; TEXT(H22,"0.0%") &amp; "/" &amp; TEXT(I22,"0.0%")</f>
        <v>59.8%/60.4%/72.7%</v>
      </c>
      <c r="C7" s="9" t="str">
        <f>TEXT(G23,"0.0%") &amp; "/" &amp; TEXT(H23,"0.0%") &amp; "/" &amp; TEXT(I23,"0.0%")</f>
        <v>76.4%/75.7%/47.3%</v>
      </c>
      <c r="D7" s="9" t="str">
        <f>TEXT(G24,"0.0%") &amp; "/" &amp; TEXT(H24,"0.0%") &amp; "/" &amp; TEXT(I24,"0.0%")</f>
        <v>74.9%/74.1%/43.1%</v>
      </c>
      <c r="E7" s="9" t="str">
        <f>TEXT(G25,"0.0%") &amp; "/" &amp; TEXT(H25,"0.0%") &amp; "/" &amp; TEXT(I25,"0.0%")</f>
        <v>59.3%/61.3%/64.9%</v>
      </c>
      <c r="F7" s="9" t="str">
        <f>TEXT(G26,"0.0%") &amp; "/" &amp; TEXT(H26,"0.0%") &amp; "/" &amp; TEXT(I26,"0.0%")</f>
        <v>59.7%/62.3%/61.3%</v>
      </c>
      <c r="G7" s="9" t="str">
        <f>TEXT(G27,"0.0%") &amp; "/" &amp; TEXT(H27,"0.0%") &amp; "/" &amp; TEXT(I27,"0.0%")</f>
        <v>59.0%/61.2%/65.1%</v>
      </c>
      <c r="H7" s="9" t="str">
        <f>TEXT(G28,"0.0%") &amp; "/" &amp; TEXT(H28,"0.0%") &amp; "/" &amp; TEXT(I28,"0.0%")</f>
        <v>80.8%/80.0%/42.9%</v>
      </c>
      <c r="I7" s="9" t="str">
        <f>TEXT(G29,"0.0%") &amp; "/" &amp; TEXT(H29,"0.0%") &amp; "/" &amp; TEXT(I29,"0.0%")</f>
        <v>72.0%/72.5%/46.5%</v>
      </c>
      <c r="J7" s="9" t="str">
        <f>TEXT(AVERAGE(G22:G29), "0.0%") &amp; "/" &amp; TEXT(AVERAGE(H22:H29), "0.0%") &amp; "/" &amp; TEXT(AVERAGE(I22:I29), "0.0%")</f>
        <v>67.7%/68.4%/55.5%</v>
      </c>
      <c r="K7" s="10" t="s">
        <v>38</v>
      </c>
      <c r="L7" s="10">
        <v>0.56432758333333299</v>
      </c>
      <c r="M7" s="10">
        <v>0.56021161572860201</v>
      </c>
      <c r="N7" s="10">
        <v>0.92566666666666597</v>
      </c>
    </row>
    <row r="8" spans="1:14" x14ac:dyDescent="0.25">
      <c r="K8" s="10" t="s">
        <v>39</v>
      </c>
      <c r="L8" s="10">
        <v>0.60603700000000005</v>
      </c>
      <c r="M8" s="10">
        <v>0.56937711657740198</v>
      </c>
      <c r="N8" s="10">
        <v>0.86566666666666603</v>
      </c>
    </row>
    <row r="9" spans="1:14" x14ac:dyDescent="0.25">
      <c r="K9" s="10" t="s">
        <v>40</v>
      </c>
      <c r="L9" s="10">
        <v>0.60820890625000001</v>
      </c>
      <c r="M9" s="10">
        <v>0.57310920478778604</v>
      </c>
      <c r="N9" s="10">
        <v>0.86024999999999996</v>
      </c>
    </row>
    <row r="10" spans="1:14" x14ac:dyDescent="0.25">
      <c r="B10" s="10" t="s">
        <v>5</v>
      </c>
      <c r="C10" s="10" t="s">
        <v>32</v>
      </c>
      <c r="D10" s="10" t="s">
        <v>33</v>
      </c>
      <c r="E10" s="10" t="s">
        <v>34</v>
      </c>
      <c r="G10" s="10" t="s">
        <v>5</v>
      </c>
      <c r="H10" s="10" t="s">
        <v>32</v>
      </c>
      <c r="I10" s="10" t="s">
        <v>33</v>
      </c>
      <c r="J10" s="10" t="s">
        <v>34</v>
      </c>
      <c r="K10" s="10" t="s">
        <v>41</v>
      </c>
      <c r="L10" s="10">
        <v>0.65821883333333298</v>
      </c>
      <c r="M10" s="10">
        <v>0.62055652489479196</v>
      </c>
      <c r="N10" s="10">
        <v>0.81383333333333296</v>
      </c>
    </row>
    <row r="11" spans="1:14" x14ac:dyDescent="0.25">
      <c r="B11" s="10" t="s">
        <v>35</v>
      </c>
      <c r="C11" s="10">
        <v>0.531236222222222</v>
      </c>
      <c r="D11" s="10">
        <v>0.51976989981576804</v>
      </c>
      <c r="E11" s="10">
        <v>0.9365</v>
      </c>
      <c r="G11" s="10" t="s">
        <v>35</v>
      </c>
      <c r="H11" s="10">
        <v>0.63959620833333297</v>
      </c>
      <c r="I11" s="10">
        <v>0.67540599044552396</v>
      </c>
      <c r="J11" s="10">
        <v>0.94283333333333297</v>
      </c>
      <c r="K11" s="10" t="s">
        <v>42</v>
      </c>
      <c r="L11" s="10">
        <v>0.55419386111111102</v>
      </c>
      <c r="M11" s="10">
        <v>0.52897344432123194</v>
      </c>
      <c r="N11" s="10">
        <v>0.91300000000000003</v>
      </c>
    </row>
    <row r="12" spans="1:14" x14ac:dyDescent="0.25">
      <c r="B12" s="10" t="s">
        <v>36</v>
      </c>
      <c r="C12" s="10">
        <v>0.68517737499999998</v>
      </c>
      <c r="D12" s="10">
        <v>0.63108515850993496</v>
      </c>
      <c r="E12" s="10">
        <v>0.81933333333333302</v>
      </c>
      <c r="G12" s="10" t="s">
        <v>36</v>
      </c>
      <c r="H12" s="10">
        <v>0.80319711111111103</v>
      </c>
      <c r="I12" s="10">
        <v>0.76565170140476402</v>
      </c>
      <c r="J12" s="10">
        <v>0.59233333333333305</v>
      </c>
    </row>
    <row r="13" spans="1:14" x14ac:dyDescent="0.25">
      <c r="B13" s="10" t="s">
        <v>37</v>
      </c>
      <c r="C13" s="10">
        <v>0.54211315277777705</v>
      </c>
      <c r="D13" s="10">
        <v>0.53304830266549297</v>
      </c>
      <c r="E13" s="10">
        <v>0.96550000000000002</v>
      </c>
      <c r="G13" s="10" t="s">
        <v>37</v>
      </c>
      <c r="H13" s="10">
        <v>0.91747688888888801</v>
      </c>
      <c r="I13" s="10">
        <v>0.92217420063578504</v>
      </c>
      <c r="J13" s="10">
        <v>0.44583333333333303</v>
      </c>
    </row>
    <row r="14" spans="1:14" x14ac:dyDescent="0.25">
      <c r="B14" s="10" t="s">
        <v>38</v>
      </c>
      <c r="C14" s="10">
        <v>0.51313006944444395</v>
      </c>
      <c r="D14" s="10">
        <v>0.50471836337380704</v>
      </c>
      <c r="E14" s="10">
        <v>0.96983333333333299</v>
      </c>
      <c r="G14" s="10" t="s">
        <v>38</v>
      </c>
      <c r="H14" s="10">
        <v>0.80925331944444401</v>
      </c>
      <c r="I14" s="10">
        <v>0.81095551379119701</v>
      </c>
      <c r="J14" s="10">
        <v>0.6895</v>
      </c>
    </row>
    <row r="15" spans="1:14" x14ac:dyDescent="0.25">
      <c r="B15" s="10" t="s">
        <v>39</v>
      </c>
      <c r="C15" s="10">
        <v>0.47472563888888802</v>
      </c>
      <c r="D15" s="10">
        <v>0.47446831863868699</v>
      </c>
      <c r="E15" s="10">
        <v>0.95933333333333304</v>
      </c>
      <c r="G15" s="10" t="s">
        <v>39</v>
      </c>
      <c r="H15" s="10">
        <v>0.560226277777777</v>
      </c>
      <c r="I15" s="10">
        <v>0.54936881264207604</v>
      </c>
      <c r="J15" s="10">
        <v>0.90033333333333299</v>
      </c>
    </row>
    <row r="16" spans="1:14" x14ac:dyDescent="0.25">
      <c r="B16" s="10" t="s">
        <v>40</v>
      </c>
      <c r="C16" s="10">
        <v>0.47694088281250002</v>
      </c>
      <c r="D16" s="10">
        <v>0.472821636334884</v>
      </c>
      <c r="E16" s="10">
        <v>0.95562499999999995</v>
      </c>
      <c r="G16" s="10" t="s">
        <v>40</v>
      </c>
      <c r="H16" s="10">
        <v>0.56307058593750003</v>
      </c>
      <c r="I16" s="10">
        <v>0.55016525004740902</v>
      </c>
      <c r="J16" s="10">
        <v>0.89724999999999999</v>
      </c>
    </row>
    <row r="17" spans="1:10" x14ac:dyDescent="0.25">
      <c r="B17" s="10" t="s">
        <v>41</v>
      </c>
      <c r="C17" s="10">
        <v>0.596409763888888</v>
      </c>
      <c r="D17" s="10">
        <v>0.61678596867319102</v>
      </c>
      <c r="E17" s="10">
        <v>0.96133333333333304</v>
      </c>
      <c r="G17" s="10" t="s">
        <v>41</v>
      </c>
      <c r="H17" s="10">
        <v>0.49121126388888797</v>
      </c>
      <c r="I17" s="10">
        <v>0.52022267646628695</v>
      </c>
      <c r="J17" s="10">
        <v>0.98266666666666602</v>
      </c>
    </row>
    <row r="18" spans="1:10" x14ac:dyDescent="0.25">
      <c r="B18" s="10" t="s">
        <v>42</v>
      </c>
      <c r="C18" s="10">
        <v>0.37229469444444402</v>
      </c>
      <c r="D18" s="10">
        <v>0.408655136319863</v>
      </c>
      <c r="E18" s="10">
        <v>0.99066666666666603</v>
      </c>
      <c r="G18" s="10" t="s">
        <v>42</v>
      </c>
      <c r="H18" s="10">
        <v>0.62394986111111095</v>
      </c>
      <c r="I18" s="10">
        <v>0.60728653510888397</v>
      </c>
      <c r="J18" s="10">
        <v>0.87050000000000005</v>
      </c>
    </row>
    <row r="21" spans="1:10" x14ac:dyDescent="0.25">
      <c r="A21" s="10" t="s">
        <v>5</v>
      </c>
      <c r="B21" s="10" t="s">
        <v>32</v>
      </c>
      <c r="C21" s="10" t="s">
        <v>33</v>
      </c>
      <c r="D21" s="10" t="s">
        <v>34</v>
      </c>
      <c r="F21" s="10" t="s">
        <v>5</v>
      </c>
      <c r="G21" s="10" t="s">
        <v>32</v>
      </c>
      <c r="H21" s="10" t="s">
        <v>33</v>
      </c>
      <c r="I21" s="10" t="s">
        <v>34</v>
      </c>
    </row>
    <row r="22" spans="1:10" x14ac:dyDescent="0.25">
      <c r="A22" s="10" t="s">
        <v>35</v>
      </c>
      <c r="B22" s="10">
        <v>0.69644644644644604</v>
      </c>
      <c r="C22" s="10">
        <v>0.68081191460821</v>
      </c>
      <c r="D22" s="10">
        <v>0.58224891558224801</v>
      </c>
      <c r="F22" s="10" t="s">
        <v>35</v>
      </c>
      <c r="G22" s="10">
        <v>0.59812590368145901</v>
      </c>
      <c r="H22" s="10">
        <v>0.60429612512945796</v>
      </c>
      <c r="I22" s="10">
        <v>0.726726726726726</v>
      </c>
    </row>
    <row r="23" spans="1:10" x14ac:dyDescent="0.25">
      <c r="A23" s="10" t="s">
        <v>36</v>
      </c>
      <c r="B23" s="10">
        <v>0.86636636636636599</v>
      </c>
      <c r="C23" s="10">
        <v>0.846187797345204</v>
      </c>
      <c r="D23" s="10">
        <v>0.28511845178511802</v>
      </c>
      <c r="F23" s="10" t="s">
        <v>36</v>
      </c>
      <c r="G23" s="10">
        <v>0.76356912468023497</v>
      </c>
      <c r="H23" s="10">
        <v>0.75684862652455198</v>
      </c>
      <c r="I23" s="10">
        <v>0.47330663997330602</v>
      </c>
    </row>
    <row r="24" spans="1:10" x14ac:dyDescent="0.25">
      <c r="A24" s="10" t="s">
        <v>37</v>
      </c>
      <c r="B24" s="10">
        <v>0.81242353464575701</v>
      </c>
      <c r="C24" s="10">
        <v>0.79206871614278995</v>
      </c>
      <c r="D24" s="10">
        <v>0.33116449783116397</v>
      </c>
      <c r="F24" s="10" t="s">
        <v>37</v>
      </c>
      <c r="G24" s="10">
        <v>0.74874874874874797</v>
      </c>
      <c r="H24" s="10">
        <v>0.74127674752674699</v>
      </c>
      <c r="I24" s="10">
        <v>0.43109776443109699</v>
      </c>
    </row>
    <row r="25" spans="1:10" x14ac:dyDescent="0.25">
      <c r="A25" s="10" t="s">
        <v>38</v>
      </c>
      <c r="B25" s="10">
        <v>0.62787787787787697</v>
      </c>
      <c r="C25" s="10">
        <v>0.63247322298248199</v>
      </c>
      <c r="D25" s="10">
        <v>0.60160160160160103</v>
      </c>
      <c r="F25" s="10" t="s">
        <v>38</v>
      </c>
      <c r="G25" s="10">
        <v>0.59328773217662101</v>
      </c>
      <c r="H25" s="10">
        <v>0.61339785552748505</v>
      </c>
      <c r="I25" s="10">
        <v>0.64881548214881501</v>
      </c>
    </row>
    <row r="26" spans="1:10" x14ac:dyDescent="0.25">
      <c r="A26" s="10" t="s">
        <v>39</v>
      </c>
      <c r="B26" s="10">
        <v>0.637415192970748</v>
      </c>
      <c r="C26" s="10">
        <v>0.64407251467436599</v>
      </c>
      <c r="D26" s="10">
        <v>0.54571237904571201</v>
      </c>
      <c r="F26" s="10" t="s">
        <v>39</v>
      </c>
      <c r="G26" s="10">
        <v>0.59662440217995705</v>
      </c>
      <c r="H26" s="10">
        <v>0.62259980037757801</v>
      </c>
      <c r="I26" s="10">
        <v>0.613446780113446</v>
      </c>
    </row>
    <row r="27" spans="1:10" x14ac:dyDescent="0.25">
      <c r="A27" s="10" t="s">
        <v>40</v>
      </c>
      <c r="B27" s="10">
        <v>0.63507257257257199</v>
      </c>
      <c r="C27" s="10">
        <v>0.63614820107875603</v>
      </c>
      <c r="D27" s="10">
        <v>0.56644144144144104</v>
      </c>
      <c r="F27" s="10" t="s">
        <v>40</v>
      </c>
      <c r="G27" s="10">
        <v>0.58999624624624603</v>
      </c>
      <c r="H27" s="10">
        <v>0.611553438289549</v>
      </c>
      <c r="I27" s="10">
        <v>0.65140140140140101</v>
      </c>
    </row>
    <row r="28" spans="1:10" x14ac:dyDescent="0.25">
      <c r="A28" s="10" t="s">
        <v>41</v>
      </c>
      <c r="B28" s="10">
        <v>0.88377266155043899</v>
      </c>
      <c r="C28" s="10">
        <v>0.86840078715078695</v>
      </c>
      <c r="D28" s="10">
        <v>0.27627627627627599</v>
      </c>
      <c r="F28" s="10" t="s">
        <v>41</v>
      </c>
      <c r="G28" s="10">
        <v>0.807752196641085</v>
      </c>
      <c r="H28" s="10">
        <v>0.800400424474498</v>
      </c>
      <c r="I28" s="10">
        <v>0.42859526192859498</v>
      </c>
    </row>
    <row r="29" spans="1:10" x14ac:dyDescent="0.25">
      <c r="A29" s="10" t="s">
        <v>42</v>
      </c>
      <c r="B29" s="10">
        <v>0.75172394616839</v>
      </c>
      <c r="C29" s="10">
        <v>0.74556974001418397</v>
      </c>
      <c r="D29" s="10">
        <v>0.40240240240240199</v>
      </c>
      <c r="F29" s="10" t="s">
        <v>42</v>
      </c>
      <c r="G29" s="10">
        <v>0.72044266488710895</v>
      </c>
      <c r="H29" s="10">
        <v>0.72537837861911902</v>
      </c>
      <c r="I29" s="10">
        <v>0.46513179846513097</v>
      </c>
    </row>
    <row r="30" spans="1:10" x14ac:dyDescent="0.25">
      <c r="A30" s="10" t="s">
        <v>44</v>
      </c>
      <c r="B30" s="10">
        <v>0.738887324824824</v>
      </c>
      <c r="C30" s="10">
        <v>0.73071661174959701</v>
      </c>
      <c r="D30" s="10">
        <v>0.44887074574574498</v>
      </c>
      <c r="F30" s="10" t="s">
        <v>44</v>
      </c>
      <c r="G30" s="10">
        <v>0.67731837740518297</v>
      </c>
      <c r="H30" s="10">
        <v>0.68446892455862296</v>
      </c>
      <c r="I30" s="10">
        <v>0.55481523189856496</v>
      </c>
    </row>
  </sheetData>
  <mergeCells count="1">
    <mergeCell ref="B1:J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66DC-FF9A-4CDF-8741-46BF2497CFB9}">
  <dimension ref="A1:J7"/>
  <sheetViews>
    <sheetView workbookViewId="0">
      <selection activeCell="K21" sqref="K21"/>
    </sheetView>
  </sheetViews>
  <sheetFormatPr defaultRowHeight="13.95" x14ac:dyDescent="0.25"/>
  <cols>
    <col min="1" max="10" width="19.77734375" customWidth="1"/>
  </cols>
  <sheetData>
    <row r="1" spans="1:10" ht="25" customHeight="1" x14ac:dyDescent="0.25">
      <c r="A1" s="11"/>
      <c r="B1" s="15" t="s">
        <v>68</v>
      </c>
      <c r="C1" s="16"/>
      <c r="D1" s="16"/>
      <c r="E1" s="16"/>
      <c r="F1" s="16"/>
      <c r="G1" s="16"/>
      <c r="H1" s="16"/>
      <c r="I1" s="16"/>
      <c r="J1" s="16"/>
    </row>
    <row r="2" spans="1:10" ht="25" customHeight="1" x14ac:dyDescent="0.25">
      <c r="A2" s="11" t="s">
        <v>3</v>
      </c>
      <c r="B2" s="12" t="s">
        <v>14</v>
      </c>
      <c r="C2" s="12" t="s">
        <v>16</v>
      </c>
      <c r="D2" s="12" t="s">
        <v>18</v>
      </c>
      <c r="E2" s="12" t="s">
        <v>20</v>
      </c>
      <c r="F2" s="12" t="s">
        <v>22</v>
      </c>
      <c r="G2" s="12" t="s">
        <v>24</v>
      </c>
      <c r="H2" s="12" t="s">
        <v>26</v>
      </c>
      <c r="I2" s="12" t="s">
        <v>28</v>
      </c>
      <c r="J2" s="12" t="s">
        <v>30</v>
      </c>
    </row>
    <row r="3" spans="1:10" ht="25" customHeight="1" x14ac:dyDescent="0.25">
      <c r="A3" s="12" t="s">
        <v>96</v>
      </c>
      <c r="B3" s="13" t="s">
        <v>45</v>
      </c>
      <c r="C3" s="13" t="s">
        <v>48</v>
      </c>
      <c r="D3" s="13" t="s">
        <v>52</v>
      </c>
      <c r="E3" s="13" t="s">
        <v>54</v>
      </c>
      <c r="F3" s="13" t="s">
        <v>55</v>
      </c>
      <c r="G3" s="13" t="s">
        <v>57</v>
      </c>
      <c r="H3" s="13" t="s">
        <v>60</v>
      </c>
      <c r="I3" s="13" t="s">
        <v>63</v>
      </c>
      <c r="J3" s="13" t="s">
        <v>66</v>
      </c>
    </row>
    <row r="4" spans="1:10" ht="25" customHeight="1" x14ac:dyDescent="0.25">
      <c r="A4" s="12" t="s">
        <v>6</v>
      </c>
      <c r="B4" s="13" t="s">
        <v>69</v>
      </c>
      <c r="C4" s="13" t="s">
        <v>70</v>
      </c>
      <c r="D4" s="13" t="s">
        <v>51</v>
      </c>
      <c r="E4" s="13" t="s">
        <v>53</v>
      </c>
      <c r="F4" s="13" t="s">
        <v>71</v>
      </c>
      <c r="G4" s="13" t="s">
        <v>72</v>
      </c>
      <c r="H4" s="13" t="s">
        <v>59</v>
      </c>
      <c r="I4" s="13" t="s">
        <v>62</v>
      </c>
      <c r="J4" s="13" t="s">
        <v>65</v>
      </c>
    </row>
    <row r="5" spans="1:10" ht="25" customHeight="1" x14ac:dyDescent="0.25">
      <c r="A5" s="12" t="s">
        <v>8</v>
      </c>
      <c r="B5" s="13" t="s">
        <v>46</v>
      </c>
      <c r="C5" s="13" t="s">
        <v>49</v>
      </c>
      <c r="D5" s="13" t="s">
        <v>73</v>
      </c>
      <c r="E5" s="13" t="s">
        <v>74</v>
      </c>
      <c r="F5" s="13" t="s">
        <v>56</v>
      </c>
      <c r="G5" s="13" t="s">
        <v>58</v>
      </c>
      <c r="H5" s="13" t="s">
        <v>61</v>
      </c>
      <c r="I5" s="13" t="s">
        <v>64</v>
      </c>
      <c r="J5" s="13" t="s">
        <v>67</v>
      </c>
    </row>
    <row r="6" spans="1:10" ht="25" customHeight="1" x14ac:dyDescent="0.25">
      <c r="A6" s="12" t="s">
        <v>10</v>
      </c>
      <c r="B6" s="13" t="s">
        <v>75</v>
      </c>
      <c r="C6" s="13" t="s">
        <v>76</v>
      </c>
      <c r="D6" s="13" t="s">
        <v>77</v>
      </c>
      <c r="E6" s="13" t="s">
        <v>78</v>
      </c>
      <c r="F6" s="13" t="s">
        <v>79</v>
      </c>
      <c r="G6" s="13" t="s">
        <v>80</v>
      </c>
      <c r="H6" s="13" t="s">
        <v>81</v>
      </c>
      <c r="I6" s="13" t="s">
        <v>82</v>
      </c>
      <c r="J6" s="13" t="s">
        <v>83</v>
      </c>
    </row>
    <row r="7" spans="1:10" ht="25" customHeight="1" x14ac:dyDescent="0.25">
      <c r="A7" s="12" t="s">
        <v>12</v>
      </c>
      <c r="B7" s="13" t="s">
        <v>47</v>
      </c>
      <c r="C7" s="13" t="s">
        <v>50</v>
      </c>
      <c r="D7" s="13" t="s">
        <v>84</v>
      </c>
      <c r="E7" s="13" t="s">
        <v>85</v>
      </c>
      <c r="F7" s="13" t="s">
        <v>86</v>
      </c>
      <c r="G7" s="13" t="s">
        <v>87</v>
      </c>
      <c r="H7" s="13" t="s">
        <v>88</v>
      </c>
      <c r="I7" s="13" t="s">
        <v>89</v>
      </c>
      <c r="J7" s="13" t="s">
        <v>90</v>
      </c>
    </row>
  </sheetData>
  <mergeCells count="1">
    <mergeCell ref="B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Experiments V1</vt:lpstr>
      <vt:lpstr>Experiments V2</vt:lpstr>
      <vt:lpstr>Time of Encoding</vt:lpstr>
      <vt:lpstr>Scratch</vt:lpstr>
      <vt:lpstr>Final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X-tyw</dc:creator>
  <cp:lastModifiedBy>X_YYWT</cp:lastModifiedBy>
  <dcterms:created xsi:type="dcterms:W3CDTF">2015-06-05T18:19:34Z</dcterms:created>
  <dcterms:modified xsi:type="dcterms:W3CDTF">2025-08-02T19:01:07Z</dcterms:modified>
</cp:coreProperties>
</file>